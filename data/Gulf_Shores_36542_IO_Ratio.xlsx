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O Summary" sheetId="1" state="visible" r:id="rId1"/>
    <sheet name="Unit Economics" sheetId="2" state="visible" r:id="rId2"/>
    <sheet name="Sensitivity" sheetId="3" state="visible" r:id="rId3"/>
    <sheet name="Manager Fee Impact" sheetId="4" state="visible" r:id="rId4"/>
    <sheet name="Inventory Scale" sheetId="5" state="visible" r:id="rId5"/>
    <sheet name="Assumptions" sheetId="6" state="visible" r:id="rId6"/>
  </sheets>
  <definedNames/>
  <calcPr calcId="124519" fullCalcOnLoad="1"/>
</workbook>
</file>

<file path=xl/styles.xml><?xml version="1.0" encoding="utf-8"?>
<styleSheet xmlns="http://schemas.openxmlformats.org/spreadsheetml/2006/main">
  <numFmts count="5">
    <numFmt numFmtId="164" formatCode="&quot;$&quot;#,##0"/>
    <numFmt numFmtId="165" formatCode="0.0%"/>
    <numFmt numFmtId="166" formatCode="&quot;$&quot;#,##0.00"/>
    <numFmt numFmtId="167" formatCode="0.0"/>
    <numFmt numFmtId="168" formatCode="+0.00;-0.00;0"/>
  </numFmts>
  <fonts count="8">
    <font>
      <name val="Calibri"/>
      <family val="2"/>
      <color theme="1"/>
      <sz val="11"/>
      <scheme val="minor"/>
    </font>
    <font>
      <name val="Calibri"/>
      <b val="1"/>
      <color rgb="000B3D5C"/>
      <sz val="16"/>
    </font>
    <font>
      <i val="1"/>
      <color rgb="00666666"/>
      <sz val="10"/>
    </font>
    <font>
      <color rgb="00666666"/>
      <sz val="9"/>
    </font>
    <font>
      <name val="Calibri"/>
      <b val="1"/>
      <color rgb="00FFFFFF"/>
      <sz val="11"/>
    </font>
    <font>
      <name val="Calibri"/>
      <b val="1"/>
      <color rgb="000B3D5C"/>
      <sz val="12"/>
    </font>
    <font>
      <i val="1"/>
      <color rgb="00666666"/>
      <sz val="9"/>
    </font>
    <font>
      <b val="1"/>
    </font>
  </fonts>
  <fills count="10">
    <fill>
      <patternFill/>
    </fill>
    <fill>
      <patternFill patternType="gray125"/>
    </fill>
    <fill>
      <patternFill patternType="solid">
        <fgColor rgb="000B3D5C"/>
      </patternFill>
    </fill>
    <fill>
      <patternFill patternType="solid">
        <fgColor rgb="00E8F5E9"/>
      </patternFill>
    </fill>
    <fill>
      <patternFill patternType="solid">
        <fgColor rgb="00D6EAF8"/>
      </patternFill>
    </fill>
    <fill>
      <patternFill patternType="solid">
        <fgColor rgb="00FFF2CC"/>
      </patternFill>
    </fill>
    <fill>
      <patternFill patternType="solid">
        <fgColor rgb="00FCE4D6"/>
      </patternFill>
    </fill>
    <fill>
      <patternFill patternType="solid">
        <fgColor rgb="00C8E6C9"/>
      </patternFill>
    </fill>
    <fill>
      <patternFill patternType="solid">
        <fgColor rgb="00BBDEFB"/>
      </patternFill>
    </fill>
    <fill>
      <patternFill patternType="solid">
        <fgColor rgb="0081C784"/>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0B3D5C"/>
      </left>
      <right style="medium">
        <color rgb="000B3D5C"/>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pivotButton="0" quotePrefix="0" xfId="0"/>
    <xf numFmtId="2" fontId="0" fillId="3" borderId="1" pivotButton="0" quotePrefix="0" xfId="0"/>
    <xf numFmtId="165" fontId="0" fillId="0" borderId="1" pivotButton="0" quotePrefix="0" xfId="0"/>
    <xf numFmtId="0" fontId="5" fillId="0" borderId="0" pivotButton="0" quotePrefix="0" xfId="0"/>
    <xf numFmtId="0" fontId="4" fillId="2" borderId="0" pivotButton="0" quotePrefix="0" xfId="0"/>
    <xf numFmtId="0" fontId="4" fillId="2" borderId="1" applyAlignment="1" pivotButton="0" quotePrefix="0" xfId="0">
      <alignment horizontal="center" wrapText="1"/>
    </xf>
    <xf numFmtId="0" fontId="0" fillId="4" borderId="1" pivotButton="0" quotePrefix="0" xfId="0"/>
    <xf numFmtId="164" fontId="0" fillId="5" borderId="1" pivotButton="0" quotePrefix="0" xfId="0"/>
    <xf numFmtId="164" fontId="0" fillId="5" borderId="2" pivotButton="0" quotePrefix="0" xfId="0"/>
    <xf numFmtId="166" fontId="0" fillId="5" borderId="1" pivotButton="0" quotePrefix="0" xfId="0"/>
    <xf numFmtId="166" fontId="0" fillId="5" borderId="2" pivotButton="0" quotePrefix="0" xfId="0"/>
    <xf numFmtId="3" fontId="0" fillId="5" borderId="1" pivotButton="0" quotePrefix="0" xfId="0"/>
    <xf numFmtId="3" fontId="0" fillId="5" borderId="2" pivotButton="0" quotePrefix="0" xfId="0"/>
    <xf numFmtId="165" fontId="0" fillId="5" borderId="1" pivotButton="0" quotePrefix="0" xfId="0"/>
    <xf numFmtId="165" fontId="0" fillId="5" borderId="2" pivotButton="0" quotePrefix="0" xfId="0"/>
    <xf numFmtId="0" fontId="0" fillId="6" borderId="1" pivotButton="0" quotePrefix="0" xfId="0"/>
    <xf numFmtId="0" fontId="0" fillId="0" borderId="2" pivotButton="0" quotePrefix="0" xfId="0"/>
    <xf numFmtId="0" fontId="0" fillId="7" borderId="1" pivotButton="0" quotePrefix="0" xfId="0"/>
    <xf numFmtId="164" fontId="0" fillId="3" borderId="1" pivotButton="0" quotePrefix="0" xfId="0"/>
    <xf numFmtId="164" fontId="0" fillId="3" borderId="2" pivotButton="0" quotePrefix="0" xfId="0"/>
    <xf numFmtId="2" fontId="0" fillId="3" borderId="2" pivotButton="0" quotePrefix="0" xfId="0"/>
    <xf numFmtId="165" fontId="0" fillId="3" borderId="1" pivotButton="0" quotePrefix="0" xfId="0"/>
    <xf numFmtId="165" fontId="0" fillId="3" borderId="2" pivotButton="0" quotePrefix="0" xfId="0"/>
    <xf numFmtId="167" fontId="0" fillId="3" borderId="1" pivotButton="0" quotePrefix="0" xfId="0"/>
    <xf numFmtId="167" fontId="0" fillId="3" borderId="2" pivotButton="0" quotePrefix="0" xfId="0"/>
    <xf numFmtId="0" fontId="6" fillId="0" borderId="0" pivotButton="0" quotePrefix="0" xfId="0"/>
    <xf numFmtId="165" fontId="0" fillId="4" borderId="1" pivotButton="0" quotePrefix="0" xfId="0"/>
    <xf numFmtId="164" fontId="0" fillId="4" borderId="1" pivotButton="0" quotePrefix="0" xfId="0"/>
    <xf numFmtId="0" fontId="4" fillId="2" borderId="1" applyAlignment="1" pivotButton="0" quotePrefix="0" xfId="0">
      <alignment horizontal="center"/>
    </xf>
    <xf numFmtId="0" fontId="4" fillId="2" borderId="1" pivotButton="0" quotePrefix="0" xfId="0"/>
    <xf numFmtId="164" fontId="0" fillId="3" borderId="0" pivotButton="0" quotePrefix="0" xfId="0"/>
    <xf numFmtId="165" fontId="0" fillId="0" borderId="0" pivotButton="0" quotePrefix="0" xfId="0"/>
    <xf numFmtId="164" fontId="0" fillId="0" borderId="0" pivotButton="0" quotePrefix="0" xfId="0"/>
    <xf numFmtId="168" fontId="0" fillId="3" borderId="1" pivotButton="0" quotePrefix="0" xfId="0"/>
    <xf numFmtId="165" fontId="0" fillId="8" borderId="1" pivotButton="0" quotePrefix="0" xfId="0"/>
    <xf numFmtId="164" fontId="0" fillId="8" borderId="1" pivotButton="0" quotePrefix="0" xfId="0"/>
    <xf numFmtId="2" fontId="0" fillId="8" borderId="1" pivotButton="0" quotePrefix="0" xfId="0"/>
    <xf numFmtId="168" fontId="0" fillId="8" borderId="1" pivotButton="0" quotePrefix="0" xfId="0"/>
    <xf numFmtId="0" fontId="7" fillId="0" borderId="1" pivotButton="0" quotePrefix="0" xfId="0"/>
    <xf numFmtId="0" fontId="0" fillId="0" borderId="1" applyAlignment="1" pivotButton="0" quotePrefix="0" xfId="0">
      <alignment wrapText="1"/>
    </xf>
    <xf numFmtId="0" fontId="0" fillId="5" borderId="1" pivotButton="0" quotePrefix="0" xfId="0"/>
    <xf numFmtId="164" fontId="7" fillId="3" borderId="1" pivotButton="0" quotePrefix="0" xfId="0"/>
    <xf numFmtId="2" fontId="7" fillId="9"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I/O Ratio vs Manager Fee %</a:t>
            </a:r>
          </a:p>
        </rich>
      </tx>
    </title>
    <plotArea>
      <lineChart>
        <grouping val="standard"/>
        <ser>
          <idx val="0"/>
          <order val="0"/>
          <tx>
            <strRef>
              <f>'Manager Fee Impact'!F6</f>
            </strRef>
          </tx>
          <spPr>
            <a:ln>
              <a:prstDash val="solid"/>
            </a:ln>
          </spPr>
          <marker>
            <symbol val="none"/>
            <spPr>
              <a:ln>
                <a:prstDash val="solid"/>
              </a:ln>
            </spPr>
          </marker>
          <cat>
            <numRef>
              <f>'Manager Fee Impact'!$A$7:$A$15</f>
            </numRef>
          </cat>
          <val>
            <numRef>
              <f>'Manager Fee Impact'!$F$7:$F$15</f>
            </numRef>
          </val>
        </ser>
        <axId val="10"/>
        <axId val="100"/>
      </lineChart>
      <catAx>
        <axId val="10"/>
        <scaling>
          <orientation val="minMax"/>
        </scaling>
        <axPos val="l"/>
        <title>
          <tx>
            <rich>
              <a:bodyPr/>
              <a:p>
                <a:pPr>
                  <a:defRPr/>
                </a:pPr>
                <a:r>
                  <a:t>Mgmt Fee %</a:t>
                </a:r>
              </a:p>
            </rich>
          </tx>
        </title>
        <majorTickMark val="none"/>
        <minorTickMark val="none"/>
        <crossAx val="100"/>
        <lblOffset val="100"/>
      </catAx>
      <valAx>
        <axId val="100"/>
        <scaling>
          <orientation val="minMax"/>
        </scaling>
        <axPos val="l"/>
        <majorGridlines/>
        <title>
          <tx>
            <rich>
              <a:bodyPr/>
              <a:p>
                <a:pPr>
                  <a:defRPr/>
                </a:pPr>
                <a:r>
                  <a:t>I/O Ratio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19</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15"/>
  <sheetViews>
    <sheetView workbookViewId="0">
      <pane ySplit="5" topLeftCell="A6" activePane="bottomLeft" state="frozen"/>
      <selection pane="bottomLeft" activeCell="A1" sqref="A1"/>
    </sheetView>
  </sheetViews>
  <sheetFormatPr baseColWidth="8" defaultRowHeight="15"/>
  <cols>
    <col width="18" customWidth="1" min="1" max="1"/>
    <col width="16" customWidth="1" min="2" max="2"/>
    <col width="18" customWidth="1" min="3" max="3"/>
    <col width="15" customWidth="1" min="4" max="4"/>
    <col width="12" customWidth="1" min="5" max="5"/>
    <col width="20" customWidth="1" min="6" max="6"/>
    <col width="18" customWidth="1" min="7" max="7"/>
    <col width="55" customWidth="1" min="8" max="8"/>
  </cols>
  <sheetData>
    <row r="1">
      <c r="A1" s="1" t="inlineStr">
        <is>
          <t>Gulf Shores 36542 — Investor I/O Ratio Summary</t>
        </is>
      </c>
    </row>
    <row r="2">
      <c r="A2" s="2" t="inlineStr">
        <is>
          <t>I/O Ratio = NOI ÷ Annual Cash Inputs   |   NOI = Gross Revenue − Annual Cash Inputs   |   Illustrative 2026 base case (not an appraisal)</t>
        </is>
      </c>
    </row>
    <row r="3">
      <c r="A3" s="3" t="inlineStr">
        <is>
          <t>Market context: median sold ~$450K (condo+SFH mix); VR mgmt fees often 20–35% of gross; carrying costs include wind/flood, HOA, furnishings reserves.</t>
        </is>
      </c>
    </row>
    <row r="5" ht="32" customHeight="1">
      <c r="A5" s="4" t="inlineStr">
        <is>
          <t>Scenario</t>
        </is>
      </c>
      <c r="B5" s="4" t="inlineStr">
        <is>
          <t>Purchase Price</t>
        </is>
      </c>
      <c r="C5" s="4" t="inlineStr">
        <is>
          <t>Annual Cash Inputs</t>
        </is>
      </c>
      <c r="D5" s="4" t="inlineStr">
        <is>
          <t>Gross Revenue</t>
        </is>
      </c>
      <c r="E5" s="4" t="inlineStr">
        <is>
          <t>NOI</t>
        </is>
      </c>
      <c r="F5" s="4" t="inlineStr">
        <is>
          <t>I/O Ratio (NOI÷Inputs)</t>
        </is>
      </c>
      <c r="G5" s="4" t="inlineStr">
        <is>
          <t>Cap Rate (NOI÷Purchase)</t>
        </is>
      </c>
      <c r="H5" s="4" t="inlineStr">
        <is>
          <t>Notes</t>
        </is>
      </c>
    </row>
    <row r="6">
      <c r="A6" s="5" t="inlineStr">
        <is>
          <t>1BR condo</t>
        </is>
      </c>
      <c r="B6" s="6" t="n">
        <v>275000</v>
      </c>
      <c r="C6" s="6" t="n">
        <v>27688</v>
      </c>
      <c r="D6" s="6" t="n">
        <v>32375</v>
      </c>
      <c r="E6" s="6" t="n">
        <v>4688</v>
      </c>
      <c r="F6" s="7" t="n">
        <v>0.1693002257336343</v>
      </c>
      <c r="G6" s="8" t="n">
        <v>0.01704545454545454</v>
      </c>
      <c r="H6" s="5" t="inlineStr">
        <is>
          <t>West Beach / mid-rise studio-1BR; softer ADR off-peak</t>
        </is>
      </c>
    </row>
    <row r="7">
      <c r="A7" s="5" t="inlineStr">
        <is>
          <t>2BR gulf-view</t>
        </is>
      </c>
      <c r="B7" s="6" t="n">
        <v>425000</v>
      </c>
      <c r="C7" s="6" t="n">
        <v>39028</v>
      </c>
      <c r="D7" s="6" t="n">
        <v>51675</v>
      </c>
      <c r="E7" s="6" t="n">
        <v>12648</v>
      </c>
      <c r="F7" s="7" t="n">
        <v>0.3240663634616616</v>
      </c>
      <c r="G7" s="8" t="n">
        <v>0.02975882352941176</v>
      </c>
      <c r="H7" s="5" t="inlineStr">
        <is>
          <t>Indirect / side gulf-view; near median sold ~$450K</t>
        </is>
      </c>
    </row>
    <row r="8">
      <c r="A8" s="5" t="inlineStr">
        <is>
          <t>2BR gulf-front</t>
        </is>
      </c>
      <c r="B8" s="6" t="n">
        <v>575000</v>
      </c>
      <c r="C8" s="6" t="n">
        <v>50410</v>
      </c>
      <c r="D8" s="6" t="n">
        <v>72450</v>
      </c>
      <c r="E8" s="6" t="n">
        <v>22040</v>
      </c>
      <c r="F8" s="7" t="n">
        <v>0.437214838325729</v>
      </c>
      <c r="G8" s="8" t="n">
        <v>0.0383304347826087</v>
      </c>
      <c r="H8" s="5" t="inlineStr">
        <is>
          <t>Direct gulf-front tower (Crystal / Seawind / Lighthouse class)</t>
        </is>
      </c>
    </row>
    <row r="9">
      <c r="A9" s="5" t="inlineStr">
        <is>
          <t>3BR gulf-front</t>
        </is>
      </c>
      <c r="B9" s="6" t="n">
        <v>750000</v>
      </c>
      <c r="C9" s="6" t="n">
        <v>66298</v>
      </c>
      <c r="D9" s="6" t="n">
        <v>97825</v>
      </c>
      <c r="E9" s="6" t="n">
        <v>31528</v>
      </c>
      <c r="F9" s="7" t="n">
        <v>0.4755458350616539</v>
      </c>
      <c r="G9" s="8" t="n">
        <v>0.04203666666666667</v>
      </c>
      <c r="H9" s="5" t="inlineStr">
        <is>
          <t>Larger gulf-front lockout / 3BR premium</t>
        </is>
      </c>
    </row>
    <row r="10">
      <c r="A10" s="5" t="inlineStr">
        <is>
          <t>4BR house</t>
        </is>
      </c>
      <c r="B10" s="6" t="n">
        <v>895000</v>
      </c>
      <c r="C10" s="6" t="n">
        <v>67968</v>
      </c>
      <c r="D10" s="6" t="n">
        <v>98975</v>
      </c>
      <c r="E10" s="6" t="n">
        <v>31008</v>
      </c>
      <c r="F10" s="7" t="n">
        <v>0.4562106889322102</v>
      </c>
      <c r="G10" s="8" t="n">
        <v>0.03464525139664804</v>
      </c>
      <c r="H10" s="5" t="inlineStr">
        <is>
          <t>Canal / near-beach SFH; higher insurance &amp; maint, no HOA</t>
        </is>
      </c>
    </row>
    <row r="12">
      <c r="A12" s="9" t="inlineStr">
        <is>
          <t>Definition</t>
        </is>
      </c>
    </row>
    <row r="13">
      <c r="A13" t="inlineStr">
        <is>
          <t>Annual Cash Inputs</t>
        </is>
      </c>
      <c r="B13" t="inlineStr">
        <is>
          <t>Sum of: property-mgmt fees + platform/OTA fees + HOA + insurance (wind/flood/HO) + owner utilities + maintenance/turnover + FF&amp;E reserves + property tax. Excludes purchase price / debt principal.</t>
        </is>
      </c>
    </row>
    <row r="14">
      <c r="A14" t="inlineStr">
        <is>
          <t>I/O Ratio</t>
        </is>
      </c>
      <c r="B14" t="inlineStr">
        <is>
          <t>NOI ÷ Annual Cash Inputs. Values &gt; 1.0 mean every $1 of annual carrying cash returns more than $1 of NOI; &lt; 1.0 means inputs exceed residual NOI (still may be strategic for appreciation / personal use).</t>
        </is>
      </c>
    </row>
    <row r="15">
      <c r="A15" t="inlineStr">
        <is>
          <t>How to edit</t>
        </is>
      </c>
      <c r="B15" t="inlineStr">
        <is>
          <t>Change yellow driver cells on the Unit Economics sheet; Summary figures above are base-case snapshots. Sensitivity / Manager Fee Impact sheets stress-test the 2BR gulf-front case.</t>
        </is>
      </c>
    </row>
  </sheetData>
  <mergeCells count="6">
    <mergeCell ref="B14:H14"/>
    <mergeCell ref="A3:H3"/>
    <mergeCell ref="B13:H13"/>
    <mergeCell ref="A2:H2"/>
    <mergeCell ref="B15:H1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s>
  <sheetData>
    <row r="1">
      <c r="A1" s="1" t="inlineStr">
        <is>
          <t>Unit Economics — Editable Drivers (yellow) + Formulas (green)</t>
        </is>
      </c>
    </row>
    <row r="2">
      <c r="A2" s="2" t="inlineStr">
        <is>
          <t>I/O Ratio = NOI ÷ Annual Cash Inputs. Cash-on-cash assumes illustrative down-payment % (row Equity %). Edit yellow cells only.</t>
        </is>
      </c>
    </row>
    <row r="4">
      <c r="A4" s="10" t="inlineStr">
        <is>
          <t>DRIVER / METRIC</t>
        </is>
      </c>
      <c r="B4" s="11" t="inlineStr">
        <is>
          <t>1BR condo</t>
        </is>
      </c>
      <c r="C4" s="11" t="inlineStr">
        <is>
          <t>2BR gulf-view</t>
        </is>
      </c>
      <c r="D4" s="11" t="inlineStr">
        <is>
          <t>2BR gulf-front</t>
        </is>
      </c>
      <c r="E4" s="11" t="inlineStr">
        <is>
          <t>3BR gulf-front</t>
        </is>
      </c>
      <c r="F4" s="11" t="inlineStr">
        <is>
          <t>4BR house</t>
        </is>
      </c>
    </row>
    <row r="5">
      <c r="A5" s="12" t="inlineStr">
        <is>
          <t>Purchase Price ($)</t>
        </is>
      </c>
      <c r="B5" s="13" t="n">
        <v>275000</v>
      </c>
      <c r="C5" s="13" t="n">
        <v>425000</v>
      </c>
      <c r="D5" s="14" t="n">
        <v>575000</v>
      </c>
      <c r="E5" s="13" t="n">
        <v>750000</v>
      </c>
      <c r="F5" s="13" t="n">
        <v>895000</v>
      </c>
    </row>
    <row r="6">
      <c r="A6" s="12" t="inlineStr">
        <is>
          <t>ADR — Avg Daily Rate ($)</t>
        </is>
      </c>
      <c r="B6" s="15" t="n">
        <v>185</v>
      </c>
      <c r="C6" s="15" t="n">
        <v>265</v>
      </c>
      <c r="D6" s="16" t="n">
        <v>345</v>
      </c>
      <c r="E6" s="15" t="n">
        <v>455</v>
      </c>
      <c r="F6" s="15" t="n">
        <v>535</v>
      </c>
    </row>
    <row r="7">
      <c r="A7" s="12" t="inlineStr">
        <is>
          <t>Occupied Nights / Year</t>
        </is>
      </c>
      <c r="B7" s="17" t="n">
        <v>175</v>
      </c>
      <c r="C7" s="17" t="n">
        <v>195</v>
      </c>
      <c r="D7" s="18" t="n">
        <v>210</v>
      </c>
      <c r="E7" s="17" t="n">
        <v>215</v>
      </c>
      <c r="F7" s="17" t="n">
        <v>185</v>
      </c>
    </row>
    <row r="8">
      <c r="A8" s="12" t="inlineStr">
        <is>
          <t>Property Mgmt Fee %</t>
        </is>
      </c>
      <c r="B8" s="19" t="n">
        <v>0.25</v>
      </c>
      <c r="C8" s="19" t="n">
        <v>0.25</v>
      </c>
      <c r="D8" s="20" t="n">
        <v>0.25</v>
      </c>
      <c r="E8" s="19" t="n">
        <v>0.25</v>
      </c>
      <c r="F8" s="19" t="n">
        <v>0.25</v>
      </c>
    </row>
    <row r="9">
      <c r="A9" s="12" t="inlineStr">
        <is>
          <t>Platform / OTA Fee %</t>
        </is>
      </c>
      <c r="B9" s="19" t="n">
        <v>0.05</v>
      </c>
      <c r="C9" s="19" t="n">
        <v>0.05</v>
      </c>
      <c r="D9" s="20" t="n">
        <v>0.05</v>
      </c>
      <c r="E9" s="19" t="n">
        <v>0.05</v>
      </c>
      <c r="F9" s="19" t="n">
        <v>0.05</v>
      </c>
    </row>
    <row r="10">
      <c r="A10" s="12" t="inlineStr">
        <is>
          <t>HOA / Condo Dues ($/yr)</t>
        </is>
      </c>
      <c r="B10" s="13" t="n">
        <v>6200</v>
      </c>
      <c r="C10" s="13" t="n">
        <v>7800</v>
      </c>
      <c r="D10" s="14" t="n">
        <v>9600</v>
      </c>
      <c r="E10" s="13" t="n">
        <v>12500</v>
      </c>
      <c r="F10" s="13" t="n">
        <v>0</v>
      </c>
    </row>
    <row r="11">
      <c r="A11" s="12" t="inlineStr">
        <is>
          <t>Insurance ($/yr)</t>
        </is>
      </c>
      <c r="B11" s="13" t="n">
        <v>3200</v>
      </c>
      <c r="C11" s="13" t="n">
        <v>4200</v>
      </c>
      <c r="D11" s="14" t="n">
        <v>5200</v>
      </c>
      <c r="E11" s="13" t="n">
        <v>6500</v>
      </c>
      <c r="F11" s="13" t="n">
        <v>14500</v>
      </c>
    </row>
    <row r="12">
      <c r="A12" s="12" t="inlineStr">
        <is>
          <t>Utilities — owner ($/yr)</t>
        </is>
      </c>
      <c r="B12" s="13" t="n">
        <v>2400</v>
      </c>
      <c r="C12" s="13" t="n">
        <v>3000</v>
      </c>
      <c r="D12" s="14" t="n">
        <v>3300</v>
      </c>
      <c r="E12" s="13" t="n">
        <v>4200</v>
      </c>
      <c r="F12" s="13" t="n">
        <v>4800</v>
      </c>
    </row>
    <row r="13">
      <c r="A13" s="12" t="inlineStr">
        <is>
          <t>Maintenance / Turnover ($/yr)</t>
        </is>
      </c>
      <c r="B13" s="13" t="n">
        <v>2800</v>
      </c>
      <c r="C13" s="13" t="n">
        <v>3600</v>
      </c>
      <c r="D13" s="14" t="n">
        <v>4200</v>
      </c>
      <c r="E13" s="13" t="n">
        <v>5500</v>
      </c>
      <c r="F13" s="13" t="n">
        <v>8500</v>
      </c>
    </row>
    <row r="14">
      <c r="A14" s="12" t="inlineStr">
        <is>
          <t>FF&amp;E / CapEx Reserves ($/yr)</t>
        </is>
      </c>
      <c r="B14" s="13" t="n">
        <v>2000</v>
      </c>
      <c r="C14" s="13" t="n">
        <v>2800</v>
      </c>
      <c r="D14" s="14" t="n">
        <v>3500</v>
      </c>
      <c r="E14" s="13" t="n">
        <v>4500</v>
      </c>
      <c r="F14" s="13" t="n">
        <v>6000</v>
      </c>
    </row>
    <row r="15">
      <c r="A15" s="12" t="inlineStr">
        <is>
          <t>Property Tax ($/yr)</t>
        </is>
      </c>
      <c r="B15" s="13" t="n">
        <v>1375</v>
      </c>
      <c r="C15" s="13" t="n">
        <v>2125</v>
      </c>
      <c r="D15" s="14" t="n">
        <v>2875</v>
      </c>
      <c r="E15" s="13" t="n">
        <v>3750</v>
      </c>
      <c r="F15" s="13" t="n">
        <v>4475</v>
      </c>
    </row>
    <row r="16">
      <c r="A16" s="21" t="inlineStr">
        <is>
          <t>Illustrative Equity / Down %</t>
        </is>
      </c>
      <c r="B16" s="19" t="n">
        <v>0.25</v>
      </c>
      <c r="C16" s="19" t="n">
        <v>0.25</v>
      </c>
      <c r="D16" s="20" t="n">
        <v>0.25</v>
      </c>
      <c r="E16" s="19" t="n">
        <v>0.25</v>
      </c>
      <c r="F16" s="19" t="n">
        <v>0.25</v>
      </c>
    </row>
    <row r="17">
      <c r="D17" s="22" t="n"/>
    </row>
    <row r="18">
      <c r="A18" s="9" t="inlineStr">
        <is>
          <t>COMPUTED (Excel formulas — do not overwrite)</t>
        </is>
      </c>
      <c r="D18" s="22" t="n"/>
    </row>
    <row r="19">
      <c r="A19" s="23" t="inlineStr">
        <is>
          <t>Gross Revenue ($)</t>
        </is>
      </c>
      <c r="B19" s="24">
        <f>B6*B7</f>
        <v/>
      </c>
      <c r="C19" s="24">
        <f>C6*C7</f>
        <v/>
      </c>
      <c r="D19" s="25">
        <f>D6*D7</f>
        <v/>
      </c>
      <c r="E19" s="24">
        <f>E6*E7</f>
        <v/>
      </c>
      <c r="F19" s="24">
        <f>F6*F7</f>
        <v/>
      </c>
    </row>
    <row r="20">
      <c r="A20" s="23" t="inlineStr">
        <is>
          <t>Platform Fees ($)</t>
        </is>
      </c>
      <c r="B20" s="24">
        <f>B19*B9</f>
        <v/>
      </c>
      <c r="C20" s="24">
        <f>C19*C9</f>
        <v/>
      </c>
      <c r="D20" s="25">
        <f>D19*D9</f>
        <v/>
      </c>
      <c r="E20" s="24">
        <f>E19*E9</f>
        <v/>
      </c>
      <c r="F20" s="24">
        <f>F19*F9</f>
        <v/>
      </c>
    </row>
    <row r="21">
      <c r="A21" s="23" t="inlineStr">
        <is>
          <t>Mgmt Fees ($)</t>
        </is>
      </c>
      <c r="B21" s="24">
        <f>B19*B8</f>
        <v/>
      </c>
      <c r="C21" s="24">
        <f>C19*C8</f>
        <v/>
      </c>
      <c r="D21" s="25">
        <f>D19*D8</f>
        <v/>
      </c>
      <c r="E21" s="24">
        <f>E19*E8</f>
        <v/>
      </c>
      <c r="F21" s="24">
        <f>F19*F8</f>
        <v/>
      </c>
    </row>
    <row r="22">
      <c r="A22" s="23" t="inlineStr">
        <is>
          <t>Annual Cash Inputs ($)</t>
        </is>
      </c>
      <c r="B22" s="24">
        <f>B21+B20+B10+B11+B12+B13+B14+B15</f>
        <v/>
      </c>
      <c r="C22" s="24">
        <f>C21+C20+C10+C11+C12+C13+C14+C15</f>
        <v/>
      </c>
      <c r="D22" s="25">
        <f>D21+D20+D10+D11+D12+D13+D14+D15</f>
        <v/>
      </c>
      <c r="E22" s="24">
        <f>E21+E20+E10+E11+E12+E13+E14+E15</f>
        <v/>
      </c>
      <c r="F22" s="24">
        <f>F21+F20+F10+F11+F12+F13+F14+F15</f>
        <v/>
      </c>
    </row>
    <row r="23">
      <c r="A23" s="23" t="inlineStr">
        <is>
          <t>NOI ($)</t>
        </is>
      </c>
      <c r="B23" s="24">
        <f>B19-B22</f>
        <v/>
      </c>
      <c r="C23" s="24">
        <f>C19-C22</f>
        <v/>
      </c>
      <c r="D23" s="25">
        <f>D19-D22</f>
        <v/>
      </c>
      <c r="E23" s="24">
        <f>E19-E22</f>
        <v/>
      </c>
      <c r="F23" s="24">
        <f>F19-F22</f>
        <v/>
      </c>
    </row>
    <row r="24">
      <c r="A24" s="23" t="inlineStr">
        <is>
          <t>I/O Ratio (NOI÷Inputs)</t>
        </is>
      </c>
      <c r="B24" s="7">
        <f>IF(B22=0,"n/a",B23/B22)</f>
        <v/>
      </c>
      <c r="C24" s="7">
        <f>IF(C22=0,"n/a",C23/C22)</f>
        <v/>
      </c>
      <c r="D24" s="26">
        <f>IF(D22=0,"n/a",D23/D22)</f>
        <v/>
      </c>
      <c r="E24" s="7">
        <f>IF(E22=0,"n/a",E23/E22)</f>
        <v/>
      </c>
      <c r="F24" s="7">
        <f>IF(F22=0,"n/a",F23/F22)</f>
        <v/>
      </c>
    </row>
    <row r="25">
      <c r="A25" s="23" t="inlineStr">
        <is>
          <t>Cap Rate (NOI÷Purchase)</t>
        </is>
      </c>
      <c r="B25" s="27">
        <f>IF(B5=0,"n/a",B23/B5)</f>
        <v/>
      </c>
      <c r="C25" s="27">
        <f>IF(C5=0,"n/a",C23/C5)</f>
        <v/>
      </c>
      <c r="D25" s="28">
        <f>IF(D5=0,"n/a",D23/D5)</f>
        <v/>
      </c>
      <c r="E25" s="27">
        <f>IF(E5=0,"n/a",E23/E5)</f>
        <v/>
      </c>
      <c r="F25" s="27">
        <f>IF(F5=0,"n/a",F23/F5)</f>
        <v/>
      </c>
    </row>
    <row r="26">
      <c r="A26" s="23" t="inlineStr">
        <is>
          <t>Cash-on-Cash (NOI÷Equity)</t>
        </is>
      </c>
      <c r="B26" s="27">
        <f>IF(B5*B16=0,"n/a",B23/(B5*B16))</f>
        <v/>
      </c>
      <c r="C26" s="27">
        <f>IF(C5*C16=0,"n/a",C23/(C5*C16))</f>
        <v/>
      </c>
      <c r="D26" s="28">
        <f>IF(D5*D16=0,"n/a",D23/(D5*D16))</f>
        <v/>
      </c>
      <c r="E26" s="27">
        <f>IF(E5*E16=0,"n/a",E23/(E5*E16))</f>
        <v/>
      </c>
      <c r="F26" s="27">
        <f>IF(F5*F16=0,"n/a",F23/(F5*F16))</f>
        <v/>
      </c>
    </row>
    <row r="27">
      <c r="A27" s="23" t="inlineStr">
        <is>
          <t>Gross Yield (Gross÷Purchase)</t>
        </is>
      </c>
      <c r="B27" s="27">
        <f>IF(B5=0,"n/a",B19/B5)</f>
        <v/>
      </c>
      <c r="C27" s="27">
        <f>IF(C5=0,"n/a",C19/C5)</f>
        <v/>
      </c>
      <c r="D27" s="28">
        <f>IF(D5=0,"n/a",D19/D5)</f>
        <v/>
      </c>
      <c r="E27" s="27">
        <f>IF(E5=0,"n/a",E19/E5)</f>
        <v/>
      </c>
      <c r="F27" s="27">
        <f>IF(F5=0,"n/a",F19/F5)</f>
        <v/>
      </c>
    </row>
    <row r="28">
      <c r="A28" s="23" t="inlineStr">
        <is>
          <t>Payback Years (Purchase÷NOI)</t>
        </is>
      </c>
      <c r="B28" s="29">
        <f>IF(B23&lt;=0,"n/a",B5/B23)</f>
        <v/>
      </c>
      <c r="C28" s="29">
        <f>IF(C23&lt;=0,"n/a",C5/C23)</f>
        <v/>
      </c>
      <c r="D28" s="30">
        <f>IF(D23&lt;=0,"n/a",D5/D23)</f>
        <v/>
      </c>
      <c r="E28" s="29">
        <f>IF(E23&lt;=0,"n/a",E5/E23)</f>
        <v/>
      </c>
      <c r="F28" s="29">
        <f>IF(F23&lt;=0,"n/a",F5/F23)</f>
        <v/>
      </c>
    </row>
    <row r="30">
      <c r="A30" s="31" t="inlineStr">
        <is>
          <t>Legend: Yellow = editable drivers  |  Green = formula outputs  |  Cash-on-cash ignores debt service (equity multiple only).</t>
        </is>
      </c>
    </row>
  </sheetData>
  <mergeCells count="4">
    <mergeCell ref="A30:G30"/>
    <mergeCell ref="A2:G2"/>
    <mergeCell ref="A1:G1"/>
    <mergeCell ref="A18:G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Sensitivity — 2BR Gulf-Front (base from Unit Economics column D)</t>
        </is>
      </c>
    </row>
    <row r="2">
      <c r="A2" s="2" t="inlineStr">
        <is>
          <t>Grids use FIXED annual fixed costs + fee % from Unit Economics!D (2BR gulf-front). Vary ADR (rows) × Occupied Nights (cols).</t>
        </is>
      </c>
    </row>
    <row r="4">
      <c r="A4" s="9" t="inlineStr">
        <is>
          <t>Linked drivers (from Unit Economics!D)</t>
        </is>
      </c>
    </row>
    <row r="5">
      <c r="A5" s="12" t="inlineStr">
        <is>
          <t>Mgmt %</t>
        </is>
      </c>
      <c r="B5" s="32">
        <f>'Unit Economics'!D8</f>
        <v/>
      </c>
      <c r="C5" s="12" t="inlineStr">
        <is>
          <t>Platform %</t>
        </is>
      </c>
      <c r="D5" s="32">
        <f>'Unit Economics'!D9</f>
        <v/>
      </c>
      <c r="E5" s="12" t="inlineStr">
        <is>
          <t>Fixed OpEx $/yr</t>
        </is>
      </c>
      <c r="F5" s="33">
        <f>'Unit Economics'!D10+'Unit Economics'!D11+'Unit Economics'!D12+'Unit Economics'!D13+'Unit Economics'!D14+'Unit Economics'!D15</f>
        <v/>
      </c>
      <c r="G5" s="12" t="inlineStr">
        <is>
          <t>Purchase</t>
        </is>
      </c>
      <c r="H5" s="33">
        <f>'Unit Economics'!D5</f>
        <v/>
      </c>
    </row>
    <row r="7">
      <c r="A7" s="9" t="inlineStr">
        <is>
          <t>NOI ($) — ADR × Occupied Nights</t>
        </is>
      </c>
    </row>
    <row r="8">
      <c r="A8" s="10" t="inlineStr">
        <is>
          <t>ADR \ Nights</t>
        </is>
      </c>
      <c r="B8" s="34" t="n">
        <v>150</v>
      </c>
      <c r="C8" s="34" t="n">
        <v>170</v>
      </c>
      <c r="D8" s="34" t="n">
        <v>190</v>
      </c>
      <c r="E8" s="34" t="n">
        <v>210</v>
      </c>
      <c r="F8" s="34" t="n">
        <v>230</v>
      </c>
      <c r="G8" s="34" t="n">
        <v>250</v>
      </c>
      <c r="H8" s="34" t="n">
        <v>270</v>
      </c>
    </row>
    <row r="9">
      <c r="A9" s="13" t="n">
        <v>250</v>
      </c>
      <c r="B9" s="24">
        <f>$A9*B$8*(1-$B$5-$D$5)-$F$5</f>
        <v/>
      </c>
      <c r="C9" s="24">
        <f>$A9*C$8*(1-$B$5-$D$5)-$F$5</f>
        <v/>
      </c>
      <c r="D9" s="24">
        <f>$A9*D$8*(1-$B$5-$D$5)-$F$5</f>
        <v/>
      </c>
      <c r="E9" s="24">
        <f>$A9*E$8*(1-$B$5-$D$5)-$F$5</f>
        <v/>
      </c>
      <c r="F9" s="24">
        <f>$A9*F$8*(1-$B$5-$D$5)-$F$5</f>
        <v/>
      </c>
      <c r="G9" s="24">
        <f>$A9*G$8*(1-$B$5-$D$5)-$F$5</f>
        <v/>
      </c>
      <c r="H9" s="24">
        <f>$A9*H$8*(1-$B$5-$D$5)-$F$5</f>
        <v/>
      </c>
    </row>
    <row r="10">
      <c r="A10" s="13" t="n">
        <v>275</v>
      </c>
      <c r="B10" s="24">
        <f>$A10*B$8*(1-$B$5-$D$5)-$F$5</f>
        <v/>
      </c>
      <c r="C10" s="24">
        <f>$A10*C$8*(1-$B$5-$D$5)-$F$5</f>
        <v/>
      </c>
      <c r="D10" s="24">
        <f>$A10*D$8*(1-$B$5-$D$5)-$F$5</f>
        <v/>
      </c>
      <c r="E10" s="24">
        <f>$A10*E$8*(1-$B$5-$D$5)-$F$5</f>
        <v/>
      </c>
      <c r="F10" s="24">
        <f>$A10*F$8*(1-$B$5-$D$5)-$F$5</f>
        <v/>
      </c>
      <c r="G10" s="24">
        <f>$A10*G$8*(1-$B$5-$D$5)-$F$5</f>
        <v/>
      </c>
      <c r="H10" s="24">
        <f>$A10*H$8*(1-$B$5-$D$5)-$F$5</f>
        <v/>
      </c>
    </row>
    <row r="11">
      <c r="A11" s="13" t="n">
        <v>300</v>
      </c>
      <c r="B11" s="24">
        <f>$A11*B$8*(1-$B$5-$D$5)-$F$5</f>
        <v/>
      </c>
      <c r="C11" s="24">
        <f>$A11*C$8*(1-$B$5-$D$5)-$F$5</f>
        <v/>
      </c>
      <c r="D11" s="24">
        <f>$A11*D$8*(1-$B$5-$D$5)-$F$5</f>
        <v/>
      </c>
      <c r="E11" s="24">
        <f>$A11*E$8*(1-$B$5-$D$5)-$F$5</f>
        <v/>
      </c>
      <c r="F11" s="24">
        <f>$A11*F$8*(1-$B$5-$D$5)-$F$5</f>
        <v/>
      </c>
      <c r="G11" s="24">
        <f>$A11*G$8*(1-$B$5-$D$5)-$F$5</f>
        <v/>
      </c>
      <c r="H11" s="24">
        <f>$A11*H$8*(1-$B$5-$D$5)-$F$5</f>
        <v/>
      </c>
    </row>
    <row r="12">
      <c r="A12" s="13" t="n">
        <v>325</v>
      </c>
      <c r="B12" s="24">
        <f>$A12*B$8*(1-$B$5-$D$5)-$F$5</f>
        <v/>
      </c>
      <c r="C12" s="24">
        <f>$A12*C$8*(1-$B$5-$D$5)-$F$5</f>
        <v/>
      </c>
      <c r="D12" s="24">
        <f>$A12*D$8*(1-$B$5-$D$5)-$F$5</f>
        <v/>
      </c>
      <c r="E12" s="24">
        <f>$A12*E$8*(1-$B$5-$D$5)-$F$5</f>
        <v/>
      </c>
      <c r="F12" s="24">
        <f>$A12*F$8*(1-$B$5-$D$5)-$F$5</f>
        <v/>
      </c>
      <c r="G12" s="24">
        <f>$A12*G$8*(1-$B$5-$D$5)-$F$5</f>
        <v/>
      </c>
      <c r="H12" s="24">
        <f>$A12*H$8*(1-$B$5-$D$5)-$F$5</f>
        <v/>
      </c>
    </row>
    <row r="13">
      <c r="A13" s="13" t="n">
        <v>345</v>
      </c>
      <c r="B13" s="24">
        <f>$A13*B$8*(1-$B$5-$D$5)-$F$5</f>
        <v/>
      </c>
      <c r="C13" s="24">
        <f>$A13*C$8*(1-$B$5-$D$5)-$F$5</f>
        <v/>
      </c>
      <c r="D13" s="24">
        <f>$A13*D$8*(1-$B$5-$D$5)-$F$5</f>
        <v/>
      </c>
      <c r="E13" s="24">
        <f>$A13*E$8*(1-$B$5-$D$5)-$F$5</f>
        <v/>
      </c>
      <c r="F13" s="24">
        <f>$A13*F$8*(1-$B$5-$D$5)-$F$5</f>
        <v/>
      </c>
      <c r="G13" s="24">
        <f>$A13*G$8*(1-$B$5-$D$5)-$F$5</f>
        <v/>
      </c>
      <c r="H13" s="24">
        <f>$A13*H$8*(1-$B$5-$D$5)-$F$5</f>
        <v/>
      </c>
    </row>
    <row r="14">
      <c r="A14" s="13" t="n">
        <v>375</v>
      </c>
      <c r="B14" s="24">
        <f>$A14*B$8*(1-$B$5-$D$5)-$F$5</f>
        <v/>
      </c>
      <c r="C14" s="24">
        <f>$A14*C$8*(1-$B$5-$D$5)-$F$5</f>
        <v/>
      </c>
      <c r="D14" s="24">
        <f>$A14*D$8*(1-$B$5-$D$5)-$F$5</f>
        <v/>
      </c>
      <c r="E14" s="24">
        <f>$A14*E$8*(1-$B$5-$D$5)-$F$5</f>
        <v/>
      </c>
      <c r="F14" s="24">
        <f>$A14*F$8*(1-$B$5-$D$5)-$F$5</f>
        <v/>
      </c>
      <c r="G14" s="24">
        <f>$A14*G$8*(1-$B$5-$D$5)-$F$5</f>
        <v/>
      </c>
      <c r="H14" s="24">
        <f>$A14*H$8*(1-$B$5-$D$5)-$F$5</f>
        <v/>
      </c>
    </row>
    <row r="15">
      <c r="A15" s="13" t="n">
        <v>400</v>
      </c>
      <c r="B15" s="24">
        <f>$A15*B$8*(1-$B$5-$D$5)-$F$5</f>
        <v/>
      </c>
      <c r="C15" s="24">
        <f>$A15*C$8*(1-$B$5-$D$5)-$F$5</f>
        <v/>
      </c>
      <c r="D15" s="24">
        <f>$A15*D$8*(1-$B$5-$D$5)-$F$5</f>
        <v/>
      </c>
      <c r="E15" s="24">
        <f>$A15*E$8*(1-$B$5-$D$5)-$F$5</f>
        <v/>
      </c>
      <c r="F15" s="24">
        <f>$A15*F$8*(1-$B$5-$D$5)-$F$5</f>
        <v/>
      </c>
      <c r="G15" s="24">
        <f>$A15*G$8*(1-$B$5-$D$5)-$F$5</f>
        <v/>
      </c>
      <c r="H15" s="24">
        <f>$A15*H$8*(1-$B$5-$D$5)-$F$5</f>
        <v/>
      </c>
    </row>
    <row r="16">
      <c r="A16" s="13" t="n">
        <v>425</v>
      </c>
      <c r="B16" s="24">
        <f>$A16*B$8*(1-$B$5-$D$5)-$F$5</f>
        <v/>
      </c>
      <c r="C16" s="24">
        <f>$A16*C$8*(1-$B$5-$D$5)-$F$5</f>
        <v/>
      </c>
      <c r="D16" s="24">
        <f>$A16*D$8*(1-$B$5-$D$5)-$F$5</f>
        <v/>
      </c>
      <c r="E16" s="24">
        <f>$A16*E$8*(1-$B$5-$D$5)-$F$5</f>
        <v/>
      </c>
      <c r="F16" s="24">
        <f>$A16*F$8*(1-$B$5-$D$5)-$F$5</f>
        <v/>
      </c>
      <c r="G16" s="24">
        <f>$A16*G$8*(1-$B$5-$D$5)-$F$5</f>
        <v/>
      </c>
      <c r="H16" s="24">
        <f>$A16*H$8*(1-$B$5-$D$5)-$F$5</f>
        <v/>
      </c>
    </row>
    <row r="17">
      <c r="A17" s="13" t="n">
        <v>450</v>
      </c>
      <c r="B17" s="24">
        <f>$A17*B$8*(1-$B$5-$D$5)-$F$5</f>
        <v/>
      </c>
      <c r="C17" s="24">
        <f>$A17*C$8*(1-$B$5-$D$5)-$F$5</f>
        <v/>
      </c>
      <c r="D17" s="24">
        <f>$A17*D$8*(1-$B$5-$D$5)-$F$5</f>
        <v/>
      </c>
      <c r="E17" s="24">
        <f>$A17*E$8*(1-$B$5-$D$5)-$F$5</f>
        <v/>
      </c>
      <c r="F17" s="24">
        <f>$A17*F$8*(1-$B$5-$D$5)-$F$5</f>
        <v/>
      </c>
      <c r="G17" s="24">
        <f>$A17*G$8*(1-$B$5-$D$5)-$F$5</f>
        <v/>
      </c>
      <c r="H17" s="24">
        <f>$A17*H$8*(1-$B$5-$D$5)-$F$5</f>
        <v/>
      </c>
    </row>
    <row r="20">
      <c r="A20" s="9" t="inlineStr">
        <is>
          <t>I/O Ratio (NOI÷Inputs) — ADR × Occupied Nights</t>
        </is>
      </c>
    </row>
    <row r="21">
      <c r="A21" s="10" t="inlineStr">
        <is>
          <t>ADR \ Nights</t>
        </is>
      </c>
      <c r="B21" s="35" t="n">
        <v>150</v>
      </c>
      <c r="C21" s="35" t="n">
        <v>170</v>
      </c>
      <c r="D21" s="35" t="n">
        <v>190</v>
      </c>
      <c r="E21" s="35" t="n">
        <v>210</v>
      </c>
      <c r="F21" s="35" t="n">
        <v>230</v>
      </c>
      <c r="G21" s="35" t="n">
        <v>250</v>
      </c>
      <c r="H21" s="35" t="n">
        <v>270</v>
      </c>
    </row>
    <row r="22">
      <c r="A22" s="13" t="n">
        <v>250</v>
      </c>
      <c r="B22" s="7">
        <f>IF(($A22*B$21*($B$5+$D$5)+$F$5)=0,"n/a",($A22*B$21*(1-$B$5-$D$5)-$F$5)/($A22*B$21*($B$5+$D$5)+$F$5))</f>
        <v/>
      </c>
      <c r="C22" s="7">
        <f>IF(($A22*C$21*($B$5+$D$5)+$F$5)=0,"n/a",($A22*C$21*(1-$B$5-$D$5)-$F$5)/($A22*C$21*($B$5+$D$5)+$F$5))</f>
        <v/>
      </c>
      <c r="D22" s="7">
        <f>IF(($A22*D$21*($B$5+$D$5)+$F$5)=0,"n/a",($A22*D$21*(1-$B$5-$D$5)-$F$5)/($A22*D$21*($B$5+$D$5)+$F$5))</f>
        <v/>
      </c>
      <c r="E22" s="7">
        <f>IF(($A22*E$21*($B$5+$D$5)+$F$5)=0,"n/a",($A22*E$21*(1-$B$5-$D$5)-$F$5)/($A22*E$21*($B$5+$D$5)+$F$5))</f>
        <v/>
      </c>
      <c r="F22" s="7">
        <f>IF(($A22*F$21*($B$5+$D$5)+$F$5)=0,"n/a",($A22*F$21*(1-$B$5-$D$5)-$F$5)/($A22*F$21*($B$5+$D$5)+$F$5))</f>
        <v/>
      </c>
      <c r="G22" s="7">
        <f>IF(($A22*G$21*($B$5+$D$5)+$F$5)=0,"n/a",($A22*G$21*(1-$B$5-$D$5)-$F$5)/($A22*G$21*($B$5+$D$5)+$F$5))</f>
        <v/>
      </c>
      <c r="H22" s="7">
        <f>IF(($A22*H$21*($B$5+$D$5)+$F$5)=0,"n/a",($A22*H$21*(1-$B$5-$D$5)-$F$5)/($A22*H$21*($B$5+$D$5)+$F$5))</f>
        <v/>
      </c>
    </row>
    <row r="23">
      <c r="A23" s="13" t="n">
        <v>275</v>
      </c>
      <c r="B23" s="7">
        <f>IF(($A23*B$21*($B$5+$D$5)+$F$5)=0,"n/a",($A23*B$21*(1-$B$5-$D$5)-$F$5)/($A23*B$21*($B$5+$D$5)+$F$5))</f>
        <v/>
      </c>
      <c r="C23" s="7">
        <f>IF(($A23*C$21*($B$5+$D$5)+$F$5)=0,"n/a",($A23*C$21*(1-$B$5-$D$5)-$F$5)/($A23*C$21*($B$5+$D$5)+$F$5))</f>
        <v/>
      </c>
      <c r="D23" s="7">
        <f>IF(($A23*D$21*($B$5+$D$5)+$F$5)=0,"n/a",($A23*D$21*(1-$B$5-$D$5)-$F$5)/($A23*D$21*($B$5+$D$5)+$F$5))</f>
        <v/>
      </c>
      <c r="E23" s="7">
        <f>IF(($A23*E$21*($B$5+$D$5)+$F$5)=0,"n/a",($A23*E$21*(1-$B$5-$D$5)-$F$5)/($A23*E$21*($B$5+$D$5)+$F$5))</f>
        <v/>
      </c>
      <c r="F23" s="7">
        <f>IF(($A23*F$21*($B$5+$D$5)+$F$5)=0,"n/a",($A23*F$21*(1-$B$5-$D$5)-$F$5)/($A23*F$21*($B$5+$D$5)+$F$5))</f>
        <v/>
      </c>
      <c r="G23" s="7">
        <f>IF(($A23*G$21*($B$5+$D$5)+$F$5)=0,"n/a",($A23*G$21*(1-$B$5-$D$5)-$F$5)/($A23*G$21*($B$5+$D$5)+$F$5))</f>
        <v/>
      </c>
      <c r="H23" s="7">
        <f>IF(($A23*H$21*($B$5+$D$5)+$F$5)=0,"n/a",($A23*H$21*(1-$B$5-$D$5)-$F$5)/($A23*H$21*($B$5+$D$5)+$F$5))</f>
        <v/>
      </c>
    </row>
    <row r="24">
      <c r="A24" s="13" t="n">
        <v>300</v>
      </c>
      <c r="B24" s="7">
        <f>IF(($A24*B$21*($B$5+$D$5)+$F$5)=0,"n/a",($A24*B$21*(1-$B$5-$D$5)-$F$5)/($A24*B$21*($B$5+$D$5)+$F$5))</f>
        <v/>
      </c>
      <c r="C24" s="7">
        <f>IF(($A24*C$21*($B$5+$D$5)+$F$5)=0,"n/a",($A24*C$21*(1-$B$5-$D$5)-$F$5)/($A24*C$21*($B$5+$D$5)+$F$5))</f>
        <v/>
      </c>
      <c r="D24" s="7">
        <f>IF(($A24*D$21*($B$5+$D$5)+$F$5)=0,"n/a",($A24*D$21*(1-$B$5-$D$5)-$F$5)/($A24*D$21*($B$5+$D$5)+$F$5))</f>
        <v/>
      </c>
      <c r="E24" s="7">
        <f>IF(($A24*E$21*($B$5+$D$5)+$F$5)=0,"n/a",($A24*E$21*(1-$B$5-$D$5)-$F$5)/($A24*E$21*($B$5+$D$5)+$F$5))</f>
        <v/>
      </c>
      <c r="F24" s="7">
        <f>IF(($A24*F$21*($B$5+$D$5)+$F$5)=0,"n/a",($A24*F$21*(1-$B$5-$D$5)-$F$5)/($A24*F$21*($B$5+$D$5)+$F$5))</f>
        <v/>
      </c>
      <c r="G24" s="7">
        <f>IF(($A24*G$21*($B$5+$D$5)+$F$5)=0,"n/a",($A24*G$21*(1-$B$5-$D$5)-$F$5)/($A24*G$21*($B$5+$D$5)+$F$5))</f>
        <v/>
      </c>
      <c r="H24" s="7">
        <f>IF(($A24*H$21*($B$5+$D$5)+$F$5)=0,"n/a",($A24*H$21*(1-$B$5-$D$5)-$F$5)/($A24*H$21*($B$5+$D$5)+$F$5))</f>
        <v/>
      </c>
    </row>
    <row r="25">
      <c r="A25" s="13" t="n">
        <v>325</v>
      </c>
      <c r="B25" s="7">
        <f>IF(($A25*B$21*($B$5+$D$5)+$F$5)=0,"n/a",($A25*B$21*(1-$B$5-$D$5)-$F$5)/($A25*B$21*($B$5+$D$5)+$F$5))</f>
        <v/>
      </c>
      <c r="C25" s="7">
        <f>IF(($A25*C$21*($B$5+$D$5)+$F$5)=0,"n/a",($A25*C$21*(1-$B$5-$D$5)-$F$5)/($A25*C$21*($B$5+$D$5)+$F$5))</f>
        <v/>
      </c>
      <c r="D25" s="7">
        <f>IF(($A25*D$21*($B$5+$D$5)+$F$5)=0,"n/a",($A25*D$21*(1-$B$5-$D$5)-$F$5)/($A25*D$21*($B$5+$D$5)+$F$5))</f>
        <v/>
      </c>
      <c r="E25" s="7">
        <f>IF(($A25*E$21*($B$5+$D$5)+$F$5)=0,"n/a",($A25*E$21*(1-$B$5-$D$5)-$F$5)/($A25*E$21*($B$5+$D$5)+$F$5))</f>
        <v/>
      </c>
      <c r="F25" s="7">
        <f>IF(($A25*F$21*($B$5+$D$5)+$F$5)=0,"n/a",($A25*F$21*(1-$B$5-$D$5)-$F$5)/($A25*F$21*($B$5+$D$5)+$F$5))</f>
        <v/>
      </c>
      <c r="G25" s="7">
        <f>IF(($A25*G$21*($B$5+$D$5)+$F$5)=0,"n/a",($A25*G$21*(1-$B$5-$D$5)-$F$5)/($A25*G$21*($B$5+$D$5)+$F$5))</f>
        <v/>
      </c>
      <c r="H25" s="7">
        <f>IF(($A25*H$21*($B$5+$D$5)+$F$5)=0,"n/a",($A25*H$21*(1-$B$5-$D$5)-$F$5)/($A25*H$21*($B$5+$D$5)+$F$5))</f>
        <v/>
      </c>
    </row>
    <row r="26">
      <c r="A26" s="13" t="n">
        <v>345</v>
      </c>
      <c r="B26" s="7">
        <f>IF(($A26*B$21*($B$5+$D$5)+$F$5)=0,"n/a",($A26*B$21*(1-$B$5-$D$5)-$F$5)/($A26*B$21*($B$5+$D$5)+$F$5))</f>
        <v/>
      </c>
      <c r="C26" s="7">
        <f>IF(($A26*C$21*($B$5+$D$5)+$F$5)=0,"n/a",($A26*C$21*(1-$B$5-$D$5)-$F$5)/($A26*C$21*($B$5+$D$5)+$F$5))</f>
        <v/>
      </c>
      <c r="D26" s="7">
        <f>IF(($A26*D$21*($B$5+$D$5)+$F$5)=0,"n/a",($A26*D$21*(1-$B$5-$D$5)-$F$5)/($A26*D$21*($B$5+$D$5)+$F$5))</f>
        <v/>
      </c>
      <c r="E26" s="7">
        <f>IF(($A26*E$21*($B$5+$D$5)+$F$5)=0,"n/a",($A26*E$21*(1-$B$5-$D$5)-$F$5)/($A26*E$21*($B$5+$D$5)+$F$5))</f>
        <v/>
      </c>
      <c r="F26" s="7">
        <f>IF(($A26*F$21*($B$5+$D$5)+$F$5)=0,"n/a",($A26*F$21*(1-$B$5-$D$5)-$F$5)/($A26*F$21*($B$5+$D$5)+$F$5))</f>
        <v/>
      </c>
      <c r="G26" s="7">
        <f>IF(($A26*G$21*($B$5+$D$5)+$F$5)=0,"n/a",($A26*G$21*(1-$B$5-$D$5)-$F$5)/($A26*G$21*($B$5+$D$5)+$F$5))</f>
        <v/>
      </c>
      <c r="H26" s="7">
        <f>IF(($A26*H$21*($B$5+$D$5)+$F$5)=0,"n/a",($A26*H$21*(1-$B$5-$D$5)-$F$5)/($A26*H$21*($B$5+$D$5)+$F$5))</f>
        <v/>
      </c>
    </row>
    <row r="27">
      <c r="A27" s="13" t="n">
        <v>375</v>
      </c>
      <c r="B27" s="7">
        <f>IF(($A27*B$21*($B$5+$D$5)+$F$5)=0,"n/a",($A27*B$21*(1-$B$5-$D$5)-$F$5)/($A27*B$21*($B$5+$D$5)+$F$5))</f>
        <v/>
      </c>
      <c r="C27" s="7">
        <f>IF(($A27*C$21*($B$5+$D$5)+$F$5)=0,"n/a",($A27*C$21*(1-$B$5-$D$5)-$F$5)/($A27*C$21*($B$5+$D$5)+$F$5))</f>
        <v/>
      </c>
      <c r="D27" s="7">
        <f>IF(($A27*D$21*($B$5+$D$5)+$F$5)=0,"n/a",($A27*D$21*(1-$B$5-$D$5)-$F$5)/($A27*D$21*($B$5+$D$5)+$F$5))</f>
        <v/>
      </c>
      <c r="E27" s="7">
        <f>IF(($A27*E$21*($B$5+$D$5)+$F$5)=0,"n/a",($A27*E$21*(1-$B$5-$D$5)-$F$5)/($A27*E$21*($B$5+$D$5)+$F$5))</f>
        <v/>
      </c>
      <c r="F27" s="7">
        <f>IF(($A27*F$21*($B$5+$D$5)+$F$5)=0,"n/a",($A27*F$21*(1-$B$5-$D$5)-$F$5)/($A27*F$21*($B$5+$D$5)+$F$5))</f>
        <v/>
      </c>
      <c r="G27" s="7">
        <f>IF(($A27*G$21*($B$5+$D$5)+$F$5)=0,"n/a",($A27*G$21*(1-$B$5-$D$5)-$F$5)/($A27*G$21*($B$5+$D$5)+$F$5))</f>
        <v/>
      </c>
      <c r="H27" s="7">
        <f>IF(($A27*H$21*($B$5+$D$5)+$F$5)=0,"n/a",($A27*H$21*(1-$B$5-$D$5)-$F$5)/($A27*H$21*($B$5+$D$5)+$F$5))</f>
        <v/>
      </c>
    </row>
    <row r="28">
      <c r="A28" s="13" t="n">
        <v>400</v>
      </c>
      <c r="B28" s="7">
        <f>IF(($A28*B$21*($B$5+$D$5)+$F$5)=0,"n/a",($A28*B$21*(1-$B$5-$D$5)-$F$5)/($A28*B$21*($B$5+$D$5)+$F$5))</f>
        <v/>
      </c>
      <c r="C28" s="7">
        <f>IF(($A28*C$21*($B$5+$D$5)+$F$5)=0,"n/a",($A28*C$21*(1-$B$5-$D$5)-$F$5)/($A28*C$21*($B$5+$D$5)+$F$5))</f>
        <v/>
      </c>
      <c r="D28" s="7">
        <f>IF(($A28*D$21*($B$5+$D$5)+$F$5)=0,"n/a",($A28*D$21*(1-$B$5-$D$5)-$F$5)/($A28*D$21*($B$5+$D$5)+$F$5))</f>
        <v/>
      </c>
      <c r="E28" s="7">
        <f>IF(($A28*E$21*($B$5+$D$5)+$F$5)=0,"n/a",($A28*E$21*(1-$B$5-$D$5)-$F$5)/($A28*E$21*($B$5+$D$5)+$F$5))</f>
        <v/>
      </c>
      <c r="F28" s="7">
        <f>IF(($A28*F$21*($B$5+$D$5)+$F$5)=0,"n/a",($A28*F$21*(1-$B$5-$D$5)-$F$5)/($A28*F$21*($B$5+$D$5)+$F$5))</f>
        <v/>
      </c>
      <c r="G28" s="7">
        <f>IF(($A28*G$21*($B$5+$D$5)+$F$5)=0,"n/a",($A28*G$21*(1-$B$5-$D$5)-$F$5)/($A28*G$21*($B$5+$D$5)+$F$5))</f>
        <v/>
      </c>
      <c r="H28" s="7">
        <f>IF(($A28*H$21*($B$5+$D$5)+$F$5)=0,"n/a",($A28*H$21*(1-$B$5-$D$5)-$F$5)/($A28*H$21*($B$5+$D$5)+$F$5))</f>
        <v/>
      </c>
    </row>
    <row r="29">
      <c r="A29" s="13" t="n">
        <v>425</v>
      </c>
      <c r="B29" s="7">
        <f>IF(($A29*B$21*($B$5+$D$5)+$F$5)=0,"n/a",($A29*B$21*(1-$B$5-$D$5)-$F$5)/($A29*B$21*($B$5+$D$5)+$F$5))</f>
        <v/>
      </c>
      <c r="C29" s="7">
        <f>IF(($A29*C$21*($B$5+$D$5)+$F$5)=0,"n/a",($A29*C$21*(1-$B$5-$D$5)-$F$5)/($A29*C$21*($B$5+$D$5)+$F$5))</f>
        <v/>
      </c>
      <c r="D29" s="7">
        <f>IF(($A29*D$21*($B$5+$D$5)+$F$5)=0,"n/a",($A29*D$21*(1-$B$5-$D$5)-$F$5)/($A29*D$21*($B$5+$D$5)+$F$5))</f>
        <v/>
      </c>
      <c r="E29" s="7">
        <f>IF(($A29*E$21*($B$5+$D$5)+$F$5)=0,"n/a",($A29*E$21*(1-$B$5-$D$5)-$F$5)/($A29*E$21*($B$5+$D$5)+$F$5))</f>
        <v/>
      </c>
      <c r="F29" s="7">
        <f>IF(($A29*F$21*($B$5+$D$5)+$F$5)=0,"n/a",($A29*F$21*(1-$B$5-$D$5)-$F$5)/($A29*F$21*($B$5+$D$5)+$F$5))</f>
        <v/>
      </c>
      <c r="G29" s="7">
        <f>IF(($A29*G$21*($B$5+$D$5)+$F$5)=0,"n/a",($A29*G$21*(1-$B$5-$D$5)-$F$5)/($A29*G$21*($B$5+$D$5)+$F$5))</f>
        <v/>
      </c>
      <c r="H29" s="7">
        <f>IF(($A29*H$21*($B$5+$D$5)+$F$5)=0,"n/a",($A29*H$21*(1-$B$5-$D$5)-$F$5)/($A29*H$21*($B$5+$D$5)+$F$5))</f>
        <v/>
      </c>
    </row>
    <row r="30">
      <c r="A30" s="13" t="n">
        <v>450</v>
      </c>
      <c r="B30" s="7">
        <f>IF(($A30*B$21*($B$5+$D$5)+$F$5)=0,"n/a",($A30*B$21*(1-$B$5-$D$5)-$F$5)/($A30*B$21*($B$5+$D$5)+$F$5))</f>
        <v/>
      </c>
      <c r="C30" s="7">
        <f>IF(($A30*C$21*($B$5+$D$5)+$F$5)=0,"n/a",($A30*C$21*(1-$B$5-$D$5)-$F$5)/($A30*C$21*($B$5+$D$5)+$F$5))</f>
        <v/>
      </c>
      <c r="D30" s="7">
        <f>IF(($A30*D$21*($B$5+$D$5)+$F$5)=0,"n/a",($A30*D$21*(1-$B$5-$D$5)-$F$5)/($A30*D$21*($B$5+$D$5)+$F$5))</f>
        <v/>
      </c>
      <c r="E30" s="7">
        <f>IF(($A30*E$21*($B$5+$D$5)+$F$5)=0,"n/a",($A30*E$21*(1-$B$5-$D$5)-$F$5)/($A30*E$21*($B$5+$D$5)+$F$5))</f>
        <v/>
      </c>
      <c r="F30" s="7">
        <f>IF(($A30*F$21*($B$5+$D$5)+$F$5)=0,"n/a",($A30*F$21*(1-$B$5-$D$5)-$F$5)/($A30*F$21*($B$5+$D$5)+$F$5))</f>
        <v/>
      </c>
      <c r="G30" s="7">
        <f>IF(($A30*G$21*($B$5+$D$5)+$F$5)=0,"n/a",($A30*G$21*(1-$B$5-$D$5)-$F$5)/($A30*G$21*($B$5+$D$5)+$F$5))</f>
        <v/>
      </c>
      <c r="H30" s="7">
        <f>IF(($A30*H$21*($B$5+$D$5)+$F$5)=0,"n/a",($A30*H$21*(1-$B$5-$D$5)-$F$5)/($A30*H$21*($B$5+$D$5)+$F$5))</f>
        <v/>
      </c>
    </row>
    <row r="32">
      <c r="A32" s="31" t="inlineStr">
        <is>
          <t>Base case marker: ADR $345 × 210 nights (Unit Economics 2BR gulf-front). Green = stronger; red = weaker.</t>
        </is>
      </c>
    </row>
  </sheetData>
  <mergeCells count="2">
    <mergeCell ref="A2:L2"/>
    <mergeCell ref="A1:L1"/>
  </mergeCells>
  <conditionalFormatting sqref="B9:H17">
    <cfRule type="colorScale" priority="1">
      <colorScale>
        <cfvo type="min"/>
        <cfvo type="percentile" val="50"/>
        <cfvo type="max"/>
        <color rgb="00F8696B"/>
        <color rgb="00FFEB84"/>
        <color rgb="0063BE7B"/>
      </colorScale>
    </cfRule>
  </conditionalFormatting>
  <conditionalFormatting sqref="B22:H30">
    <cfRule type="colorScale" priority="2">
      <colorScale>
        <cfvo type="min"/>
        <cfvo type="percentile" val="50"/>
        <cfvo type="max"/>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4" customWidth="1" min="1" max="1"/>
    <col width="14" customWidth="1" min="2" max="2"/>
    <col width="16" customWidth="1" min="3" max="3"/>
    <col width="20" customWidth="1" min="4" max="4"/>
    <col width="12" customWidth="1" min="5" max="5"/>
    <col width="12" customWidth="1" min="6" max="6"/>
    <col width="18" customWidth="1" min="7" max="7"/>
  </cols>
  <sheetData>
    <row r="1">
      <c r="A1" s="1" t="inlineStr">
        <is>
          <t>Manager Fee Impact on I/O — Fixed Gross (2BR gulf-front base)</t>
        </is>
      </c>
    </row>
    <row r="2">
      <c r="A2" s="2" t="inlineStr">
        <is>
          <t>Gross held constant at Unit Economics 2BR gulf-front (ADR×nights). Sweep property-mgmt fee 15%–35%. Platform % and fixed OpEx remain linked.</t>
        </is>
      </c>
    </row>
    <row r="4">
      <c r="A4" t="inlineStr">
        <is>
          <t>Fixed Gross Revenue</t>
        </is>
      </c>
      <c r="B4" s="36">
        <f>'Unit Economics'!D19</f>
        <v/>
      </c>
      <c r="C4" t="inlineStr">
        <is>
          <t>Platform %</t>
        </is>
      </c>
      <c r="D4" s="37">
        <f>'Unit Economics'!D9</f>
        <v/>
      </c>
      <c r="E4" t="inlineStr">
        <is>
          <t>Fixed OpEx (excl. mgmt &amp; platform)</t>
        </is>
      </c>
      <c r="F4" s="38">
        <f>'Unit Economics'!D10+'Unit Economics'!D11+'Unit Economics'!D12+'Unit Economics'!D13+'Unit Economics'!D14+'Unit Economics'!D15</f>
        <v/>
      </c>
    </row>
    <row r="6">
      <c r="A6" s="4" t="inlineStr">
        <is>
          <t>Mgmt Fee %</t>
        </is>
      </c>
      <c r="B6" s="4" t="inlineStr">
        <is>
          <t>Mgmt Fees $</t>
        </is>
      </c>
      <c r="C6" s="4" t="inlineStr">
        <is>
          <t>Platform Fees $</t>
        </is>
      </c>
      <c r="D6" s="4" t="inlineStr">
        <is>
          <t>Annual Cash Inputs $</t>
        </is>
      </c>
      <c r="E6" s="4" t="inlineStr">
        <is>
          <t>NOI $</t>
        </is>
      </c>
      <c r="F6" s="4" t="inlineStr">
        <is>
          <t>I/O Ratio</t>
        </is>
      </c>
      <c r="G6" s="4" t="inlineStr">
        <is>
          <t>Δ I/O vs 25% base</t>
        </is>
      </c>
    </row>
    <row r="7">
      <c r="A7" s="19" t="n">
        <v>0.15</v>
      </c>
      <c r="B7" s="24">
        <f>$B$4*A7</f>
        <v/>
      </c>
      <c r="C7" s="24">
        <f>$B$4*$D$4</f>
        <v/>
      </c>
      <c r="D7" s="24">
        <f>B7+C7+$F$4</f>
        <v/>
      </c>
      <c r="E7" s="24">
        <f>$B$4-D7</f>
        <v/>
      </c>
      <c r="F7" s="7">
        <f>IF(D7=0,"n/a",E7/D7)</f>
        <v/>
      </c>
      <c r="G7" s="39">
        <f>F7-F11</f>
        <v/>
      </c>
    </row>
    <row r="8">
      <c r="A8" s="19" t="n">
        <v>0.18</v>
      </c>
      <c r="B8" s="24">
        <f>$B$4*A8</f>
        <v/>
      </c>
      <c r="C8" s="24">
        <f>$B$4*$D$4</f>
        <v/>
      </c>
      <c r="D8" s="24">
        <f>B8+C8+$F$4</f>
        <v/>
      </c>
      <c r="E8" s="24">
        <f>$B$4-D8</f>
        <v/>
      </c>
      <c r="F8" s="7">
        <f>IF(D8=0,"n/a",E8/D8)</f>
        <v/>
      </c>
      <c r="G8" s="39">
        <f>F8-F11</f>
        <v/>
      </c>
    </row>
    <row r="9">
      <c r="A9" s="19" t="n">
        <v>0.2</v>
      </c>
      <c r="B9" s="24">
        <f>$B$4*A9</f>
        <v/>
      </c>
      <c r="C9" s="24">
        <f>$B$4*$D$4</f>
        <v/>
      </c>
      <c r="D9" s="24">
        <f>B9+C9+$F$4</f>
        <v/>
      </c>
      <c r="E9" s="24">
        <f>$B$4-D9</f>
        <v/>
      </c>
      <c r="F9" s="7">
        <f>IF(D9=0,"n/a",E9/D9)</f>
        <v/>
      </c>
      <c r="G9" s="39">
        <f>F9-F11</f>
        <v/>
      </c>
    </row>
    <row r="10">
      <c r="A10" s="19" t="n">
        <v>0.22</v>
      </c>
      <c r="B10" s="24">
        <f>$B$4*A10</f>
        <v/>
      </c>
      <c r="C10" s="24">
        <f>$B$4*$D$4</f>
        <v/>
      </c>
      <c r="D10" s="24">
        <f>B10+C10+$F$4</f>
        <v/>
      </c>
      <c r="E10" s="24">
        <f>$B$4-D10</f>
        <v/>
      </c>
      <c r="F10" s="7">
        <f>IF(D10=0,"n/a",E10/D10)</f>
        <v/>
      </c>
      <c r="G10" s="39">
        <f>F10-F11</f>
        <v/>
      </c>
    </row>
    <row r="11">
      <c r="A11" s="40" t="n">
        <v>0.25</v>
      </c>
      <c r="B11" s="41">
        <f>$B$4*A11</f>
        <v/>
      </c>
      <c r="C11" s="41">
        <f>$B$4*$D$4</f>
        <v/>
      </c>
      <c r="D11" s="41">
        <f>B11+C11+$F$4</f>
        <v/>
      </c>
      <c r="E11" s="41">
        <f>$B$4-D11</f>
        <v/>
      </c>
      <c r="F11" s="42">
        <f>IF(D11=0,"n/a",E11/D11)</f>
        <v/>
      </c>
      <c r="G11" s="43">
        <f>F11-F11</f>
        <v/>
      </c>
    </row>
    <row r="12">
      <c r="A12" s="19" t="n">
        <v>0.28</v>
      </c>
      <c r="B12" s="24">
        <f>$B$4*A12</f>
        <v/>
      </c>
      <c r="C12" s="24">
        <f>$B$4*$D$4</f>
        <v/>
      </c>
      <c r="D12" s="24">
        <f>B12+C12+$F$4</f>
        <v/>
      </c>
      <c r="E12" s="24">
        <f>$B$4-D12</f>
        <v/>
      </c>
      <c r="F12" s="7">
        <f>IF(D12=0,"n/a",E12/D12)</f>
        <v/>
      </c>
      <c r="G12" s="39">
        <f>F12-F11</f>
        <v/>
      </c>
    </row>
    <row r="13">
      <c r="A13" s="19" t="n">
        <v>0.3</v>
      </c>
      <c r="B13" s="24">
        <f>$B$4*A13</f>
        <v/>
      </c>
      <c r="C13" s="24">
        <f>$B$4*$D$4</f>
        <v/>
      </c>
      <c r="D13" s="24">
        <f>B13+C13+$F$4</f>
        <v/>
      </c>
      <c r="E13" s="24">
        <f>$B$4-D13</f>
        <v/>
      </c>
      <c r="F13" s="7">
        <f>IF(D13=0,"n/a",E13/D13)</f>
        <v/>
      </c>
      <c r="G13" s="39">
        <f>F13-F11</f>
        <v/>
      </c>
    </row>
    <row r="14">
      <c r="A14" s="19" t="n">
        <v>0.32</v>
      </c>
      <c r="B14" s="24">
        <f>$B$4*A14</f>
        <v/>
      </c>
      <c r="C14" s="24">
        <f>$B$4*$D$4</f>
        <v/>
      </c>
      <c r="D14" s="24">
        <f>B14+C14+$F$4</f>
        <v/>
      </c>
      <c r="E14" s="24">
        <f>$B$4-D14</f>
        <v/>
      </c>
      <c r="F14" s="7">
        <f>IF(D14=0,"n/a",E14/D14)</f>
        <v/>
      </c>
      <c r="G14" s="39">
        <f>F14-F11</f>
        <v/>
      </c>
    </row>
    <row r="15">
      <c r="A15" s="19" t="n">
        <v>0.35</v>
      </c>
      <c r="B15" s="24">
        <f>$B$4*A15</f>
        <v/>
      </c>
      <c r="C15" s="24">
        <f>$B$4*$D$4</f>
        <v/>
      </c>
      <c r="D15" s="24">
        <f>B15+C15+$F$4</f>
        <v/>
      </c>
      <c r="E15" s="24">
        <f>$B$4-D15</f>
        <v/>
      </c>
      <c r="F15" s="7">
        <f>IF(D15=0,"n/a",E15/D15)</f>
        <v/>
      </c>
      <c r="G15" s="39">
        <f>F15-F11</f>
        <v/>
      </c>
    </row>
    <row r="18">
      <c r="A18" s="31" t="inlineStr">
        <is>
          <t>Market note: Gulf Shores VR management commonly quoted ~20–35% of gross (see MARKET_GULF_SHORES_36542.md). Lower fees improve I/O but may trade service / occupancy.</t>
        </is>
      </c>
    </row>
  </sheetData>
  <mergeCells count="3">
    <mergeCell ref="A2:G2"/>
    <mergeCell ref="A1:G1"/>
    <mergeCell ref="A18:G18"/>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6" customWidth="1" min="1" max="1"/>
    <col width="14" customWidth="1" min="2" max="2"/>
    <col width="28" customWidth="1" min="3" max="3"/>
    <col width="14" customWidth="1" min="4" max="4"/>
    <col width="16" customWidth="1" min="5" max="5"/>
    <col width="14" customWidth="1" min="6" max="6"/>
    <col width="12" customWidth="1" min="7" max="7"/>
  </cols>
  <sheetData>
    <row r="1">
      <c r="A1" s="1" t="inlineStr">
        <is>
          <t>Inventory Scale — rentals_36542.json (463 records) + Illustrative Portfolio I/O</t>
        </is>
      </c>
    </row>
    <row r="2">
      <c r="A2" s="2" t="inlineStr">
        <is>
          <t>Public scrape best-effort (2026-09-05). Manager coast-wide claims &gt;&gt; ZIP-only inventory. Deduplicated by type + name; beds often unknown at unit level.</t>
        </is>
      </c>
    </row>
    <row r="4">
      <c r="A4" s="9" t="inlineStr">
        <is>
          <t>Record counts by type</t>
        </is>
      </c>
    </row>
    <row r="5">
      <c r="A5" s="4" t="inlineStr">
        <is>
          <t>Type</t>
        </is>
      </c>
      <c r="B5" s="4" t="inlineStr">
        <is>
          <t>Count</t>
        </is>
      </c>
    </row>
    <row r="6">
      <c r="A6" s="5" t="inlineStr">
        <is>
          <t>condo_unit</t>
        </is>
      </c>
      <c r="B6" s="5" t="n">
        <v>285</v>
      </c>
    </row>
    <row r="7">
      <c r="A7" s="5" t="inlineStr">
        <is>
          <t>condo_complex</t>
        </is>
      </c>
      <c r="B7" s="5" t="n">
        <v>100</v>
      </c>
    </row>
    <row r="8">
      <c r="A8" s="5" t="inlineStr">
        <is>
          <t>house</t>
        </is>
      </c>
      <c r="B8" s="5" t="n">
        <v>71</v>
      </c>
    </row>
    <row r="9">
      <c r="A9" s="5" t="inlineStr">
        <is>
          <t>manager_portfolio</t>
        </is>
      </c>
      <c r="B9" s="5" t="n">
        <v>7</v>
      </c>
    </row>
    <row r="10">
      <c r="A10" s="44" t="inlineStr">
        <is>
          <t>TOTAL</t>
        </is>
      </c>
      <c r="B10" s="44" t="n">
        <v>463</v>
      </c>
    </row>
    <row r="12">
      <c r="A12" s="9" t="inlineStr">
        <is>
          <t>Classified unit/house buckets (where beds / gulf-front known)</t>
        </is>
      </c>
    </row>
    <row r="13">
      <c r="A13" s="4" t="inlineStr">
        <is>
          <t>Class</t>
        </is>
      </c>
      <c r="B13" s="4" t="inlineStr">
        <is>
          <t>Count</t>
        </is>
      </c>
      <c r="C13" s="4" t="inlineStr">
        <is>
          <t>Maps to scenario</t>
        </is>
      </c>
    </row>
    <row r="14">
      <c r="A14" s="5" t="inlineStr">
        <is>
          <t>1BR_condo</t>
        </is>
      </c>
      <c r="B14" s="5" t="n">
        <v>5</v>
      </c>
      <c r="C14" s="5" t="inlineStr">
        <is>
          <t>1BR condo</t>
        </is>
      </c>
    </row>
    <row r="15">
      <c r="A15" s="5" t="inlineStr">
        <is>
          <t>2BR_gulf_front_condo</t>
        </is>
      </c>
      <c r="B15" s="5" t="n">
        <v>26</v>
      </c>
      <c r="C15" s="5" t="inlineStr">
        <is>
          <t>2BR gulf-front</t>
        </is>
      </c>
    </row>
    <row r="16">
      <c r="A16" s="5" t="inlineStr">
        <is>
          <t>2BR_condo_view_or_unk</t>
        </is>
      </c>
      <c r="B16" s="5" t="n">
        <v>8</v>
      </c>
      <c r="C16" s="5" t="inlineStr">
        <is>
          <t>2BR gulf-view (approx)</t>
        </is>
      </c>
    </row>
    <row r="17">
      <c r="A17" s="5" t="inlineStr">
        <is>
          <t>2BR_non_front_condo</t>
        </is>
      </c>
      <c r="B17" s="5" t="n">
        <v>6</v>
      </c>
      <c r="C17" s="5" t="inlineStr">
        <is>
          <t>2BR gulf-view / inland</t>
        </is>
      </c>
    </row>
    <row r="18">
      <c r="A18" s="5" t="inlineStr">
        <is>
          <t>3BR_gulf_front_condo</t>
        </is>
      </c>
      <c r="B18" s="5" t="n">
        <v>27</v>
      </c>
      <c r="C18" s="5" t="inlineStr">
        <is>
          <t>3BR gulf-front</t>
        </is>
      </c>
    </row>
    <row r="19">
      <c r="A19" s="5" t="inlineStr">
        <is>
          <t>3BR_condo_other</t>
        </is>
      </c>
      <c r="B19" s="5" t="n">
        <v>2</v>
      </c>
      <c r="C19" s="5" t="inlineStr">
        <is>
          <t>3BR other</t>
        </is>
      </c>
    </row>
    <row r="20">
      <c r="A20" s="5" t="inlineStr">
        <is>
          <t>4BR+_condo</t>
        </is>
      </c>
      <c r="B20" s="5" t="n">
        <v>4</v>
      </c>
      <c r="C20" s="5" t="inlineStr">
        <is>
          <t>4BR+ condo</t>
        </is>
      </c>
    </row>
    <row r="21">
      <c r="A21" s="5" t="inlineStr">
        <is>
          <t>4BR+_house</t>
        </is>
      </c>
      <c r="B21" s="5" t="n">
        <v>14</v>
      </c>
      <c r="C21" s="5" t="inlineStr">
        <is>
          <t>4BR house</t>
        </is>
      </c>
    </row>
    <row r="22">
      <c r="A22" s="5" t="inlineStr">
        <is>
          <t>3BR_house</t>
        </is>
      </c>
      <c r="B22" s="5" t="n">
        <v>15</v>
      </c>
      <c r="C22" s="5" t="inlineStr">
        <is>
          <t>—</t>
        </is>
      </c>
    </row>
    <row r="23">
      <c r="A23" s="5" t="inlineStr">
        <is>
          <t>2BR_house</t>
        </is>
      </c>
      <c r="B23" s="5" t="n">
        <v>9</v>
      </c>
      <c r="C23" s="5" t="inlineStr">
        <is>
          <t>—</t>
        </is>
      </c>
    </row>
    <row r="24">
      <c r="A24" s="5" t="inlineStr">
        <is>
          <t>house_other</t>
        </is>
      </c>
      <c r="B24" s="5" t="n">
        <v>33</v>
      </c>
      <c r="C24" s="5" t="inlineStr">
        <is>
          <t>—</t>
        </is>
      </c>
    </row>
    <row r="25">
      <c r="A25" s="5" t="inlineStr">
        <is>
          <t>condo_unit_gulf_front_beds_unk</t>
        </is>
      </c>
      <c r="B25" s="5" t="n">
        <v>194</v>
      </c>
      <c r="C25" s="5" t="inlineStr">
        <is>
          <t>beds unknown (gulf-front)</t>
        </is>
      </c>
    </row>
    <row r="26">
      <c r="A26" s="5" t="inlineStr">
        <is>
          <t>condo_unit_non_front_beds_unk</t>
        </is>
      </c>
      <c r="B26" s="5" t="n">
        <v>7</v>
      </c>
      <c r="C26" s="5" t="inlineStr">
        <is>
          <t>beds unknown (non-front)</t>
        </is>
      </c>
    </row>
    <row r="27">
      <c r="A27" s="5" t="inlineStr">
        <is>
          <t>condo_unit_other</t>
        </is>
      </c>
      <c r="B27" s="5" t="n">
        <v>6</v>
      </c>
      <c r="C27" s="5" t="inlineStr">
        <is>
          <t>—</t>
        </is>
      </c>
    </row>
    <row r="28">
      <c r="A28" s="5" t="inlineStr">
        <is>
          <t>condo_complex</t>
        </is>
      </c>
      <c r="B28" s="5" t="n">
        <v>100</v>
      </c>
      <c r="C28" s="5" t="inlineStr">
        <is>
          <t>complex directory rows</t>
        </is>
      </c>
    </row>
    <row r="29">
      <c r="A29" s="5" t="inlineStr">
        <is>
          <t>manager_portfolio</t>
        </is>
      </c>
      <c r="B29" s="5" t="n">
        <v>7</v>
      </c>
      <c r="C29" s="5" t="inlineStr">
        <is>
          <t>manager rollups</t>
        </is>
      </c>
    </row>
    <row r="32">
      <c r="A32" s="9" t="inlineStr">
        <is>
          <t>Manager portfolio notes (from JSON)</t>
        </is>
      </c>
    </row>
    <row r="33">
      <c r="A33" s="4" t="inlineStr">
        <is>
          <t>Manager</t>
        </is>
      </c>
      <c r="B33" s="4" t="inlineStr">
        <is>
          <t>Notes / public claims</t>
        </is>
      </c>
      <c r="C33" s="4" t="inlineStr">
        <is>
          <t>Source URL</t>
        </is>
      </c>
    </row>
    <row r="34" ht="45" customHeight="1">
      <c r="A34" s="5" t="inlineStr">
        <is>
          <t>Beachball Properties</t>
        </is>
      </c>
      <c r="B34" s="45" t="inlineStr">
        <is>
          <t>Public claim grown to 300+ properties coast-wide; Gulf Shores vacation rentals page shows 157 properties in filtered view (includes duplexes/homes/condos).</t>
        </is>
      </c>
      <c r="C34" s="5" t="inlineStr">
        <is>
          <t>https://beachball.com/gulf-shores-vacation-rentals/</t>
        </is>
      </c>
    </row>
    <row r="35" ht="45" customHeight="1">
      <c r="A35" s="5" t="inlineStr">
        <is>
          <t>Brett/Robinson Vacation Rentals</t>
        </is>
      </c>
      <c r="B35" s="45" t="inlineStr">
        <is>
          <t>Public claim 1,800+ vacation rental units coast-wide; Phoenix Gulf Shores, Phoenix Gulf Shores II, Phoenix All Suites, Phoenix All Suites West in 36542.</t>
        </is>
      </c>
      <c r="C35" s="5" t="inlineStr">
        <is>
          <t>https://www.brett-robinson.com/</t>
        </is>
      </c>
    </row>
    <row r="36" ht="45" customHeight="1">
      <c r="A36" s="5" t="inlineStr">
        <is>
          <t>Harris Vacations</t>
        </is>
      </c>
      <c r="B36" s="45" t="inlineStr">
        <is>
          <t>Family-owned since 1983; focused luxury beach houses/homes (not mega condo inventory). Public rentals sitemap lists ~30 named homes.</t>
        </is>
      </c>
      <c r="C36" s="5" t="inlineStr">
        <is>
          <t>https://www.ourgulfshoresvacation.com/</t>
        </is>
      </c>
    </row>
    <row r="37" ht="45" customHeight="1">
      <c r="A37" s="5" t="inlineStr">
        <is>
          <t>Liquid Life Vacation Rentals</t>
        </is>
      </c>
      <c r="B37" s="45" t="inlineStr">
        <is>
          <t>Public claim 800+ / 700+ properties coast-wide; Comparent snapshot ~218 Gulf Shores properties; resorts directory lists 50+ communities including many 36542 complexes.</t>
        </is>
      </c>
      <c r="C37" s="5" t="inlineStr">
        <is>
          <t>https://www.liquidlifevacationrentals.com/</t>
        </is>
      </c>
    </row>
    <row r="38" ht="45" customHeight="1">
      <c r="A38" s="5" t="inlineStr">
        <is>
          <t>PMI Gulf Shores</t>
        </is>
      </c>
      <c r="B38" s="45" t="inlineStr">
        <is>
          <t>Local PMI franchise; vacation/short-term management; public direct-booking site exists but inventory not exhaustively scrapeable in this pass.</t>
        </is>
      </c>
      <c r="C38" s="5" t="inlineStr">
        <is>
          <t>https://www.gulfshoresvacationrentalmanagement.com/</t>
        </is>
      </c>
    </row>
    <row r="39" ht="45" customHeight="1">
      <c r="A39" s="5" t="inlineStr">
        <is>
          <t>Vacasa (Seawind / Gulf Shores presence)</t>
        </is>
      </c>
      <c r="B39" s="45" t="inlineStr">
        <is>
          <t>National manager with public Seawind complex page; unit-level counts vary by date.</t>
        </is>
      </c>
      <c r="C39" s="5" t="inlineStr">
        <is>
          <t>https://www.vacasa.com/usa/Seawind-Condos-Gulf-Shores/</t>
        </is>
      </c>
    </row>
    <row r="40" ht="45" customHeight="1">
      <c r="A40" s="5" t="inlineStr">
        <is>
          <t>Young's Suncoast</t>
        </is>
      </c>
      <c r="B40" s="45" t="inlineStr">
        <is>
          <t>Public complex pages for many GS buildings (Lighthouse, San Carlos, Crystal Shores West, Island Tower, Boardwalk, etc.).</t>
        </is>
      </c>
      <c r="C40" s="5" t="inlineStr">
        <is>
          <t>https://www.youngssuncoast.com/complexes/</t>
        </is>
      </c>
    </row>
    <row r="43">
      <c r="A43" s="9" t="inlineStr">
        <is>
          <t>Illustrative 50-unit managed portfolio I/O</t>
        </is>
      </c>
    </row>
    <row r="44">
      <c r="A44" s="31" t="inlineStr">
        <is>
          <t>Mix assumes realistic GS product: more 2BR inventory than 1BR/4BR. Uses IO Summary per-unit NOI &amp; Inputs × unit counts.</t>
        </is>
      </c>
    </row>
    <row r="46">
      <c r="A46" s="4" t="inlineStr">
        <is>
          <t>Scenario</t>
        </is>
      </c>
      <c r="B46" s="4" t="inlineStr">
        <is>
          <t>Units</t>
        </is>
      </c>
      <c r="C46" s="4" t="inlineStr">
        <is>
          <t>Inputs $/unit</t>
        </is>
      </c>
      <c r="D46" s="4" t="inlineStr">
        <is>
          <t>NOI $/unit</t>
        </is>
      </c>
      <c r="E46" s="4" t="inlineStr">
        <is>
          <t>Portfolio Inputs</t>
        </is>
      </c>
      <c r="F46" s="4" t="inlineStr">
        <is>
          <t>Portfolio NOI</t>
        </is>
      </c>
      <c r="G46" s="4" t="inlineStr">
        <is>
          <t>Blend I/O</t>
        </is>
      </c>
    </row>
    <row r="47">
      <c r="A47" s="5" t="inlineStr">
        <is>
          <t>1BR condo</t>
        </is>
      </c>
      <c r="B47" s="46" t="n">
        <v>6</v>
      </c>
      <c r="C47" s="6" t="n">
        <v>27688</v>
      </c>
      <c r="D47" s="6" t="n">
        <v>4688</v>
      </c>
      <c r="E47" s="24">
        <f>B47*C47</f>
        <v/>
      </c>
      <c r="F47" s="24">
        <f>B47*D47</f>
        <v/>
      </c>
      <c r="G47" s="7">
        <f>IF(C47=0,"n/a",D47/C47)</f>
        <v/>
      </c>
    </row>
    <row r="48">
      <c r="A48" s="5" t="inlineStr">
        <is>
          <t>2BR gulf-view</t>
        </is>
      </c>
      <c r="B48" s="46" t="n">
        <v>12</v>
      </c>
      <c r="C48" s="6" t="n">
        <v>39028</v>
      </c>
      <c r="D48" s="6" t="n">
        <v>12648</v>
      </c>
      <c r="E48" s="24">
        <f>B48*C48</f>
        <v/>
      </c>
      <c r="F48" s="24">
        <f>B48*D48</f>
        <v/>
      </c>
      <c r="G48" s="7">
        <f>IF(C48=0,"n/a",D48/C48)</f>
        <v/>
      </c>
    </row>
    <row r="49">
      <c r="A49" s="5" t="inlineStr">
        <is>
          <t>2BR gulf-front</t>
        </is>
      </c>
      <c r="B49" s="46" t="n">
        <v>16</v>
      </c>
      <c r="C49" s="6" t="n">
        <v>50410</v>
      </c>
      <c r="D49" s="6" t="n">
        <v>22040</v>
      </c>
      <c r="E49" s="24">
        <f>B49*C49</f>
        <v/>
      </c>
      <c r="F49" s="24">
        <f>B49*D49</f>
        <v/>
      </c>
      <c r="G49" s="7">
        <f>IF(C49=0,"n/a",D49/C49)</f>
        <v/>
      </c>
    </row>
    <row r="50">
      <c r="A50" s="5" t="inlineStr">
        <is>
          <t>3BR gulf-front</t>
        </is>
      </c>
      <c r="B50" s="46" t="n">
        <v>10</v>
      </c>
      <c r="C50" s="6" t="n">
        <v>66298</v>
      </c>
      <c r="D50" s="6" t="n">
        <v>31528</v>
      </c>
      <c r="E50" s="24">
        <f>B50*C50</f>
        <v/>
      </c>
      <c r="F50" s="24">
        <f>B50*D50</f>
        <v/>
      </c>
      <c r="G50" s="7">
        <f>IF(C50=0,"n/a",D50/C50)</f>
        <v/>
      </c>
    </row>
    <row r="51">
      <c r="A51" s="5" t="inlineStr">
        <is>
          <t>4BR house</t>
        </is>
      </c>
      <c r="B51" s="46" t="n">
        <v>6</v>
      </c>
      <c r="C51" s="6" t="n">
        <v>67968</v>
      </c>
      <c r="D51" s="6" t="n">
        <v>31008</v>
      </c>
      <c r="E51" s="24">
        <f>B51*C51</f>
        <v/>
      </c>
      <c r="F51" s="24">
        <f>B51*D51</f>
        <v/>
      </c>
      <c r="G51" s="7">
        <f>IF(C51=0,"n/a",D51/C51)</f>
        <v/>
      </c>
    </row>
    <row r="52">
      <c r="A52" s="44" t="inlineStr">
        <is>
          <t>PORTFOLIO TOTAL</t>
        </is>
      </c>
      <c r="B52" s="44">
        <f>SUM(B47:B51)</f>
        <v/>
      </c>
      <c r="C52" s="5" t="n"/>
      <c r="D52" s="5" t="n"/>
      <c r="E52" s="47">
        <f>SUM(E47:E51)</f>
        <v/>
      </c>
      <c r="F52" s="47">
        <f>SUM(F47:F51)</f>
        <v/>
      </c>
      <c r="G52" s="48">
        <f>IF(E52=0,"n/a",F52/E52)</f>
        <v/>
      </c>
    </row>
  </sheetData>
  <mergeCells count="3">
    <mergeCell ref="A2:F2"/>
    <mergeCell ref="A44:F4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Assumptions, Sources &amp; Disclaimer</t>
        </is>
      </c>
    </row>
    <row r="3">
      <c r="A3" s="9" t="inlineStr">
        <is>
          <t>Core definition</t>
        </is>
      </c>
    </row>
    <row r="4">
      <c r="A4" t="inlineStr">
        <is>
          <t>I/O Ratio</t>
        </is>
      </c>
      <c r="B4" t="inlineStr">
        <is>
          <t>NOI ÷ Annual Cash Inputs</t>
        </is>
      </c>
    </row>
    <row r="5">
      <c r="A5" t="inlineStr">
        <is>
          <t>NOI</t>
        </is>
      </c>
      <c r="B5" t="inlineStr">
        <is>
          <t>Gross Revenue − Annual Cash Inputs</t>
        </is>
      </c>
    </row>
    <row r="6">
      <c r="A6" t="inlineStr">
        <is>
          <t>Gross Revenue</t>
        </is>
      </c>
      <c r="B6" t="inlineStr">
        <is>
          <t>ADR × Occupied Nights (owner-night personal use excluded from occupied nights)</t>
        </is>
      </c>
    </row>
    <row r="7">
      <c r="A7" t="inlineStr">
        <is>
          <t>Annual Cash Inputs</t>
        </is>
      </c>
      <c r="B7" t="inlineStr">
        <is>
          <t>Mgmt fees + platform/OTA fees + HOA + insurance + owner utilities + maintenance/turnover + FF&amp;E reserves + property tax. Does NOT include purchase price, closing costs, or mortgage principal.</t>
        </is>
      </c>
    </row>
    <row r="9">
      <c r="A9" s="9" t="inlineStr">
        <is>
          <t>Market / pricing context</t>
        </is>
      </c>
    </row>
    <row r="10" ht="30" customHeight="1">
      <c r="A10" s="12" t="inlineStr">
        <is>
          <t>Median sold</t>
        </is>
      </c>
      <c r="B10" s="45" t="inlineStr">
        <is>
          <t>~$450K Gulf Shores 36542 (condo + SFH mix) — MARKET_GULF_SHORES_36542.md snapshot 2026</t>
        </is>
      </c>
    </row>
    <row r="11" ht="30" customHeight="1">
      <c r="A11" s="12" t="inlineStr">
        <is>
          <t>Median ask</t>
        </is>
      </c>
      <c r="B11" s="45" t="inlineStr">
        <is>
          <t>~$555K active inventory — ask-to-sold gap = buyer leverage</t>
        </is>
      </c>
    </row>
    <row r="12" ht="30" customHeight="1">
      <c r="A12" s="12" t="inlineStr">
        <is>
          <t>VR mgmt fees</t>
        </is>
      </c>
      <c r="B12" s="45" t="inlineStr">
        <is>
          <t>Often 20–35% of gross on Alabama Gulf Coast</t>
        </is>
      </c>
    </row>
    <row r="13" ht="30" customHeight="1">
      <c r="A13" s="12" t="inlineStr">
        <is>
          <t>Purchase prices</t>
        </is>
      </c>
      <c r="B13" s="45" t="inlineStr">
        <is>
          <t>Illustrative scenario anchors around/above median for gulf-front premiums; not comps</t>
        </is>
      </c>
    </row>
    <row r="14" ht="30" customHeight="1">
      <c r="A14" s="12" t="inlineStr">
        <is>
          <t>ADR / nights</t>
        </is>
      </c>
      <c r="B14" s="45" t="inlineStr">
        <is>
          <t>Seasonal STR; peak summer/spring break/holidays — base case is blended annualized</t>
        </is>
      </c>
    </row>
    <row r="15" ht="30" customHeight="1">
      <c r="A15" s="12" t="inlineStr">
        <is>
          <t>Property tax</t>
        </is>
      </c>
      <c r="B15" s="45" t="inlineStr">
        <is>
          <t>~0.5% of purchase as Baldwin County–ish placeholder; verify parcel assessment</t>
        </is>
      </c>
    </row>
    <row r="16" ht="30" customHeight="1">
      <c r="A16" s="12" t="inlineStr">
        <is>
          <t>Insurance</t>
        </is>
      </c>
      <c r="B16" s="45" t="inlineStr">
        <is>
          <t>Wind / flood / HO-6 or HO-3 — Gulf Coast premiums elevated; house &gt;&gt; condo</t>
        </is>
      </c>
    </row>
    <row r="17" ht="30" customHeight="1">
      <c r="A17" s="12" t="inlineStr">
        <is>
          <t>HOA</t>
        </is>
      </c>
      <c r="B17" s="45" t="inlineStr">
        <is>
          <t>Condo dues vary widely by tower amenities/reserves; houses often $0</t>
        </is>
      </c>
    </row>
    <row r="18" ht="30" customHeight="1">
      <c r="A18" s="12" t="inlineStr">
        <is>
          <t>Platform %</t>
        </is>
      </c>
      <c r="B18" s="45" t="inlineStr">
        <is>
          <t>5% blended assumes partial direct-booking + residual OTA; Airbnb alone often higher</t>
        </is>
      </c>
    </row>
    <row r="19" ht="30" customHeight="1">
      <c r="A19" s="12" t="inlineStr">
        <is>
          <t>Equity %</t>
        </is>
      </c>
      <c r="B19" s="45" t="inlineStr">
        <is>
          <t>25% down for cash-on-cash illustration only — no debt service modeled</t>
        </is>
      </c>
    </row>
    <row r="20" ht="30" customHeight="1">
      <c r="A20" s="12" t="inlineStr">
        <is>
          <t>Inventory</t>
        </is>
      </c>
      <c r="B20" s="45" t="inlineStr">
        <is>
          <t>463 records from data/rentals_36542.json — 285 condo units, 100 complexes, 71 houses, 7 manager portfolios</t>
        </is>
      </c>
    </row>
    <row r="23">
      <c r="A23" s="9" t="inlineStr">
        <is>
          <t>Disclaimer</t>
        </is>
      </c>
    </row>
    <row r="24">
      <c r="A24" s="49" t="inlineStr">
        <is>
          <t>Illustrative educational model for Gulf Coast Estates internal / client conversation only. Not an appraisal, CMA, offering, tax advice, or guarantee of ADR, occupancy, NOI, or resale. Verify HOA rental rules, insurance quotes, tax assessments, and management contracts before any purchase. Public inventory scrape is incomplete vs full Airbnb/VRBO/MLS universe; manager coast-wide claims are not ZIP-36542 counts.</t>
        </is>
      </c>
    </row>
    <row r="25"/>
    <row r="26"/>
    <row r="28">
      <c r="A28" s="9" t="inlineStr">
        <is>
          <t>Primary file sources</t>
        </is>
      </c>
    </row>
    <row r="29">
      <c r="A29" t="inlineStr">
        <is>
          <t>data/rentals_36542.json</t>
        </is>
      </c>
      <c r="B29" t="inlineStr">
        <is>
          <t>463-record public scrape inventory</t>
        </is>
      </c>
    </row>
    <row r="30">
      <c r="A30" t="inlineStr">
        <is>
          <t>data/sources.md</t>
        </is>
      </c>
      <c r="B30" t="inlineStr">
        <is>
          <t>URL list + scrape date 2026-09-05</t>
        </is>
      </c>
    </row>
    <row r="31">
      <c r="A31" t="inlineStr">
        <is>
          <t>MARKET_GULF_SHORES_36542.md</t>
        </is>
      </c>
      <c r="B31" t="inlineStr">
        <is>
          <t>Median sold ~$450K, VR fee band, competitor landscape</t>
        </is>
      </c>
    </row>
  </sheetData>
  <mergeCells count="2">
    <mergeCell ref="A24:B26"/>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2026-09-05T22:53:57Z</dcterms:created>
  <dcterms:modified xsi:type="dcterms:W3CDTF">2026-09-05T22:53:57Z</dcterms:modified>
</cp:coreProperties>
</file>